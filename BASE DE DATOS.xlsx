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J:\LAUNCH MANAGEMENT\1 KI\4_NX5a\09_Information\10_FTQ\"/>
    </mc:Choice>
  </mc:AlternateContent>
  <xr:revisionPtr revIDLastSave="0" documentId="13_ncr:1_{B35C4435-97D1-4CE5-BD79-745B6F832C0C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 RIVIAN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 RIVIAN'!$B$4:$J$82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3" i="1" l="1"/>
  <c r="N82" i="1"/>
  <c r="N81" i="1"/>
  <c r="N80" i="1"/>
  <c r="N79" i="1"/>
  <c r="N78" i="1"/>
  <c r="N77" i="1"/>
  <c r="N76" i="1"/>
  <c r="N75" i="1"/>
  <c r="N73" i="1"/>
  <c r="N74" i="1"/>
  <c r="N71" i="1"/>
  <c r="N72" i="1"/>
  <c r="N70" i="1"/>
  <c r="N68" i="1"/>
  <c r="N69" i="1"/>
  <c r="N66" i="1"/>
  <c r="N67" i="1"/>
  <c r="N65" i="1"/>
  <c r="N64" i="1"/>
  <c r="N62" i="1"/>
  <c r="N63" i="1"/>
  <c r="C76" i="1"/>
  <c r="C77" i="1"/>
  <c r="C78" i="1"/>
  <c r="C79" i="1"/>
  <c r="C80" i="1"/>
  <c r="C81" i="1"/>
  <c r="C82" i="1"/>
  <c r="I76" i="1"/>
  <c r="J76" i="1" s="1"/>
  <c r="K76" i="1" s="1"/>
  <c r="I77" i="1"/>
  <c r="J77" i="1" s="1"/>
  <c r="K77" i="1" s="1"/>
  <c r="I78" i="1"/>
  <c r="J78" i="1" s="1"/>
  <c r="K78" i="1" s="1"/>
  <c r="I79" i="1"/>
  <c r="J79" i="1" s="1"/>
  <c r="K79" i="1" s="1"/>
  <c r="I80" i="1"/>
  <c r="J80" i="1" s="1"/>
  <c r="K80" i="1" s="1"/>
  <c r="I81" i="1"/>
  <c r="J81" i="1" s="1"/>
  <c r="K81" i="1" s="1"/>
  <c r="I82" i="1"/>
  <c r="J82" i="1" s="1"/>
  <c r="K82" i="1" s="1"/>
  <c r="C72" i="1"/>
  <c r="C73" i="1"/>
  <c r="C74" i="1"/>
  <c r="C75" i="1"/>
  <c r="I72" i="1"/>
  <c r="J72" i="1" s="1"/>
  <c r="K72" i="1" s="1"/>
  <c r="I73" i="1"/>
  <c r="J73" i="1" s="1"/>
  <c r="K73" i="1" s="1"/>
  <c r="I74" i="1"/>
  <c r="J74" i="1" s="1"/>
  <c r="K74" i="1" s="1"/>
  <c r="I75" i="1"/>
  <c r="J75" i="1" s="1"/>
  <c r="K75" i="1" s="1"/>
  <c r="C63" i="1"/>
  <c r="C64" i="1"/>
  <c r="C65" i="1"/>
  <c r="C66" i="1"/>
  <c r="C67" i="1"/>
  <c r="C68" i="1"/>
  <c r="C69" i="1"/>
  <c r="C70" i="1"/>
  <c r="C71" i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I67" i="1"/>
  <c r="J67" i="1" s="1"/>
  <c r="K67" i="1" s="1"/>
  <c r="I68" i="1"/>
  <c r="J68" i="1" s="1"/>
  <c r="K68" i="1" s="1"/>
  <c r="I69" i="1"/>
  <c r="J69" i="1" s="1"/>
  <c r="K69" i="1" s="1"/>
  <c r="I70" i="1"/>
  <c r="J70" i="1" s="1"/>
  <c r="K70" i="1" s="1"/>
  <c r="I71" i="1"/>
  <c r="J71" i="1" s="1"/>
  <c r="K71" i="1" s="1"/>
  <c r="N61" i="1"/>
  <c r="N59" i="1"/>
  <c r="N60" i="1"/>
  <c r="N58" i="1"/>
  <c r="N54" i="1"/>
  <c r="N55" i="1"/>
  <c r="N56" i="1"/>
  <c r="N57" i="1"/>
  <c r="N53" i="1"/>
  <c r="N51" i="1"/>
  <c r="N52" i="1"/>
  <c r="N48" i="1"/>
  <c r="N47" i="1"/>
  <c r="N49" i="1"/>
  <c r="N50" i="1"/>
  <c r="N45" i="1"/>
  <c r="N46" i="1"/>
  <c r="C62" i="1"/>
  <c r="I62" i="1"/>
  <c r="J62" i="1"/>
  <c r="K62" i="1"/>
  <c r="C54" i="1"/>
  <c r="C55" i="1"/>
  <c r="C56" i="1"/>
  <c r="C57" i="1"/>
  <c r="C58" i="1"/>
  <c r="C59" i="1"/>
  <c r="C60" i="1"/>
  <c r="C61" i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I61" i="1"/>
  <c r="J61" i="1" s="1"/>
  <c r="K61" i="1" s="1"/>
  <c r="C53" i="1"/>
  <c r="I53" i="1"/>
  <c r="J53" i="1"/>
  <c r="K53" i="1" s="1"/>
  <c r="C45" i="1"/>
  <c r="C46" i="1"/>
  <c r="C47" i="1"/>
  <c r="C48" i="1"/>
  <c r="C49" i="1"/>
  <c r="C50" i="1"/>
  <c r="C51" i="1"/>
  <c r="C52" i="1"/>
  <c r="I45" i="1"/>
  <c r="J45" i="1" s="1"/>
  <c r="K45" i="1" s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52" i="1"/>
  <c r="J52" i="1" s="1"/>
  <c r="K52" i="1" s="1"/>
  <c r="N43" i="1"/>
  <c r="N44" i="1"/>
  <c r="N41" i="1"/>
  <c r="N42" i="1"/>
  <c r="N39" i="1"/>
  <c r="N40" i="1"/>
  <c r="N33" i="1"/>
  <c r="N34" i="1"/>
  <c r="N35" i="1"/>
  <c r="N36" i="1"/>
  <c r="N37" i="1"/>
  <c r="N38" i="1"/>
  <c r="N32" i="1"/>
  <c r="N31" i="1"/>
  <c r="C34" i="1"/>
  <c r="C35" i="1"/>
  <c r="C36" i="1"/>
  <c r="C37" i="1"/>
  <c r="C38" i="1"/>
  <c r="C39" i="1"/>
  <c r="C40" i="1"/>
  <c r="C41" i="1"/>
  <c r="C42" i="1"/>
  <c r="C43" i="1"/>
  <c r="C44" i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N30" i="1" l="1"/>
  <c r="N29" i="1"/>
  <c r="N28" i="1"/>
  <c r="N26" i="1"/>
  <c r="N27" i="1"/>
  <c r="N24" i="1"/>
  <c r="N25" i="1"/>
  <c r="N19" i="1"/>
  <c r="N20" i="1"/>
  <c r="N21" i="1"/>
  <c r="N22" i="1"/>
  <c r="N23" i="1"/>
  <c r="N16" i="1"/>
  <c r="N17" i="1"/>
  <c r="N18" i="1"/>
  <c r="N15" i="1"/>
  <c r="I33" i="1"/>
  <c r="J33" i="1" s="1"/>
  <c r="K33" i="1" s="1"/>
  <c r="C33" i="1"/>
  <c r="I32" i="1"/>
  <c r="J32" i="1" s="1"/>
  <c r="K32" i="1" s="1"/>
  <c r="C32" i="1"/>
  <c r="I31" i="1"/>
  <c r="J31" i="1" s="1"/>
  <c r="K31" i="1" s="1"/>
  <c r="C31" i="1"/>
  <c r="I30" i="1"/>
  <c r="J30" i="1" s="1"/>
  <c r="K30" i="1" s="1"/>
  <c r="C30" i="1"/>
  <c r="I29" i="1"/>
  <c r="J29" i="1" s="1"/>
  <c r="K29" i="1" s="1"/>
  <c r="C29" i="1"/>
  <c r="I28" i="1"/>
  <c r="J28" i="1" s="1"/>
  <c r="K28" i="1" s="1"/>
  <c r="C28" i="1"/>
  <c r="I27" i="1"/>
  <c r="J27" i="1" s="1"/>
  <c r="K27" i="1" s="1"/>
  <c r="C27" i="1"/>
  <c r="I26" i="1"/>
  <c r="J26" i="1" s="1"/>
  <c r="K26" i="1" s="1"/>
  <c r="C26" i="1"/>
  <c r="I25" i="1"/>
  <c r="J25" i="1" s="1"/>
  <c r="K25" i="1" s="1"/>
  <c r="C25" i="1"/>
  <c r="I24" i="1"/>
  <c r="J24" i="1" s="1"/>
  <c r="K24" i="1" s="1"/>
  <c r="C24" i="1"/>
  <c r="C23" i="1"/>
  <c r="I23" i="1"/>
  <c r="J23" i="1" s="1"/>
  <c r="K23" i="1" s="1"/>
  <c r="C14" i="1"/>
  <c r="C15" i="1"/>
  <c r="C16" i="1"/>
  <c r="C17" i="1"/>
  <c r="C18" i="1"/>
  <c r="C19" i="1"/>
  <c r="C20" i="1"/>
  <c r="C21" i="1"/>
  <c r="C22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N14" i="1"/>
  <c r="N13" i="1"/>
  <c r="C5" i="1"/>
  <c r="C6" i="1"/>
  <c r="C7" i="1"/>
  <c r="C8" i="1"/>
  <c r="C9" i="1"/>
  <c r="C10" i="1"/>
  <c r="C11" i="1"/>
  <c r="C12" i="1"/>
  <c r="C13" i="1"/>
  <c r="N6" i="1"/>
  <c r="N7" i="1"/>
  <c r="N8" i="1"/>
  <c r="N9" i="1"/>
  <c r="N10" i="1"/>
  <c r="N11" i="1"/>
  <c r="N12" i="1"/>
  <c r="N5" i="1"/>
  <c r="I5" i="1"/>
  <c r="J5" i="1" s="1"/>
  <c r="K5" i="1" s="1"/>
  <c r="I6" i="1"/>
  <c r="J6" i="1" s="1"/>
  <c r="K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</calcChain>
</file>

<file path=xl/sharedStrings.xml><?xml version="1.0" encoding="utf-8"?>
<sst xmlns="http://schemas.openxmlformats.org/spreadsheetml/2006/main" count="289" uniqueCount="65">
  <si>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</si>
  <si>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</si>
  <si>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</si>
  <si>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</si>
  <si>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</si>
  <si>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</si>
  <si>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</si>
  <si>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</si>
  <si>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</si>
  <si>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</si>
  <si>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</si>
  <si>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</si>
  <si>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</si>
  <si>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</si>
  <si>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</si>
  <si>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1100A</t>
  </si>
  <si>
    <t>Falso rechazo Op.1100A</t>
  </si>
  <si>
    <t>1100B</t>
  </si>
  <si>
    <t>Hyundai/KIA</t>
  </si>
  <si>
    <t>Falta de puntos de grasa Op.100</t>
  </si>
  <si>
    <t>Corredera mal posicionada Op.400</t>
  </si>
  <si>
    <t>Corto de soldadura Op.800</t>
  </si>
  <si>
    <t>Falta de soldadura Op.800</t>
  </si>
  <si>
    <t>Falta de soldadura Op.1100A</t>
  </si>
  <si>
    <t>Lever Barcode Scan Facture Op.300</t>
  </si>
  <si>
    <t>Falla en lectura de Scanner Op.300</t>
  </si>
  <si>
    <t>Falla de inspección visual Op.200</t>
  </si>
  <si>
    <t>Falla de inspección visual Op.300</t>
  </si>
  <si>
    <t>Falla de inspección visual Op.600</t>
  </si>
  <si>
    <t>Falla de inspección visual Op.400</t>
  </si>
  <si>
    <t>Falla en lectura de Scanner Op.400</t>
  </si>
  <si>
    <t>Falla en atornillado Op.700</t>
  </si>
  <si>
    <t>Falla sin especificación Op.900</t>
  </si>
  <si>
    <t>Mal embobinado en spiral Op.1100A</t>
  </si>
  <si>
    <t>Falla de sensor de slai Op.400</t>
  </si>
  <si>
    <t>Falla de sensor S$9 Op.400</t>
  </si>
  <si>
    <t>Material Towerdid Op.400</t>
  </si>
  <si>
    <t xml:space="preserve">SFC 965827AGG00003 is not in queue at operation Op.400 </t>
  </si>
  <si>
    <t>Sin especificar Op. 600</t>
  </si>
  <si>
    <t>Sin especificar ok Op. 600</t>
  </si>
  <si>
    <t>Falso Rechazo (version de SCR) Op.700</t>
  </si>
  <si>
    <t>Falta de grasa en PCB Op.400</t>
  </si>
  <si>
    <t>Detecta piezas de sobre-producción Op.400</t>
  </si>
  <si>
    <t>Mezcla de material con index incorrecto Op.700</t>
  </si>
  <si>
    <t>Falla 0090.040 Op.1100A</t>
  </si>
  <si>
    <t>Falla  0040.074 Op.1100A</t>
  </si>
  <si>
    <t>Falla 0400.020 Op.1100A</t>
  </si>
  <si>
    <t>Falla 0400.030 Op.1100A</t>
  </si>
  <si>
    <t>Falla 0060.005 Op.1100A</t>
  </si>
  <si>
    <t>Falla 0090.004 Op.1100B</t>
  </si>
  <si>
    <t>Detecta pieza sin pasar en operación anterior Op.700</t>
  </si>
  <si>
    <t>Safe Launch</t>
  </si>
  <si>
    <t>Falla de secuencia Op.100</t>
  </si>
  <si>
    <t>Se pasa pieza de prueba (NOK) Op.200</t>
  </si>
  <si>
    <t xml:space="preserve">Falla inspección visual por mal acomodo de Upper Housing Op.300 </t>
  </si>
  <si>
    <t>Palanca dañada Op.300</t>
  </si>
  <si>
    <t>Pide pieza master antes de fin de turno Op.400</t>
  </si>
  <si>
    <t>MES - Falla de seguimiento en piezas Op.600</t>
  </si>
  <si>
    <t>Falla en scanner por lectura de etiqueta Op.200</t>
  </si>
  <si>
    <t>Falla en scanner por lectura de etiqueta Op.700</t>
  </si>
  <si>
    <t>Picos en puntos de soldeo Op.800</t>
  </si>
  <si>
    <t>Falla en scanner por lectura de etiqueta Op.900</t>
  </si>
  <si>
    <t>Falla de secuencia Op.900</t>
  </si>
  <si>
    <t>1000A</t>
  </si>
  <si>
    <t>Falla 0200.010 Op.1100A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</si>
</sst>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82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83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30"/>
  <sheetViews>
    <sheetView tabSelected="1" topLeftCell="C67" zoomScale="93" zoomScaleNormal="110" workbookViewId="0">
      <selection activeCell="S84" sqref="S84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0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7.109375" style="1" customWidth="1"/>
    <col min="19" max="19" width="13" style="1" bestFit="1" customWidth="1"/>
  </cols>
  <sheetData>
    <row r="1" spans="2:19" ht="14.4" customHeight="1" x14ac:dyDescent="0.3">
      <c r="B1" s="11" t="s">
        <v>14</v>
      </c>
      <c r="C1" s="11"/>
      <c r="D1" s="11"/>
      <c r="E1" s="11"/>
      <c r="F1" s="11"/>
      <c r="G1" s="11"/>
      <c r="H1" s="11"/>
      <c r="I1" s="11"/>
      <c r="J1" s="11"/>
      <c r="K1" s="6"/>
      <c r="M1" s="11" t="s">
        <v>13</v>
      </c>
      <c r="N1" s="11"/>
      <c r="O1" s="11"/>
      <c r="P1" s="11"/>
      <c r="Q1" s="11"/>
      <c r="R1" s="11"/>
      <c r="S1" s="11"/>
    </row>
    <row r="2" spans="2:19" ht="14.4" customHeight="1" x14ac:dyDescent="0.3">
      <c r="B2" s="11"/>
      <c r="C2" s="11"/>
      <c r="D2" s="11"/>
      <c r="E2" s="11"/>
      <c r="F2" s="11"/>
      <c r="G2" s="11"/>
      <c r="H2" s="11"/>
      <c r="I2" s="11"/>
      <c r="J2" s="11"/>
      <c r="K2" s="6"/>
      <c r="M2" s="11"/>
      <c r="N2" s="11"/>
      <c r="O2" s="11"/>
      <c r="P2" s="11"/>
      <c r="Q2" s="11"/>
      <c r="R2" s="11"/>
      <c r="S2" s="11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46217</v>
      </c>
      <c r="C5" s="1">
        <f>WEEKNUM(Tabla158[[#This Row],[Fecha]])</f>
        <v>29</v>
      </c>
      <c r="D5" s="1" t="s">
        <v>18</v>
      </c>
      <c r="E5" s="1">
        <v>100</v>
      </c>
      <c r="F5" s="9">
        <v>12264732</v>
      </c>
      <c r="G5" s="1">
        <v>104</v>
      </c>
      <c r="H5" s="1">
        <v>1</v>
      </c>
      <c r="I5" s="3">
        <f>Tabla158[[#This Row],[Piezas NOK]]/Tabla158[[#This Row],[Piezas OK]]</f>
        <v>9.6153846153846159E-3</v>
      </c>
      <c r="J5" s="1">
        <f t="shared" ref="J5:J13" si="0">ABS(G$3-I5)</f>
        <v>0.99038461538461542</v>
      </c>
      <c r="K5" s="5">
        <f>Tabla158[[#This Row],[FTQ]]</f>
        <v>0.99038461538461542</v>
      </c>
      <c r="M5" s="4">
        <v>46217</v>
      </c>
      <c r="N5" s="1">
        <f>WEEKNUM(Tabla2610[[#This Row],[Fecha]])</f>
        <v>29</v>
      </c>
      <c r="O5" s="1" t="s">
        <v>18</v>
      </c>
      <c r="P5" s="1">
        <v>100</v>
      </c>
      <c r="Q5" s="9">
        <v>12264732</v>
      </c>
      <c r="R5" s="1" t="s">
        <v>19</v>
      </c>
      <c r="S5" s="1">
        <v>1</v>
      </c>
    </row>
    <row r="6" spans="2:19" x14ac:dyDescent="0.3">
      <c r="B6" s="4">
        <v>46217</v>
      </c>
      <c r="C6" s="1">
        <f>WEEKNUM(Tabla158[[#This Row],[Fecha]])</f>
        <v>29</v>
      </c>
      <c r="D6" s="1" t="s">
        <v>18</v>
      </c>
      <c r="E6" s="1">
        <v>200</v>
      </c>
      <c r="F6" s="9">
        <v>12264732</v>
      </c>
      <c r="G6" s="1">
        <v>106</v>
      </c>
      <c r="H6" s="1">
        <v>1</v>
      </c>
      <c r="I6" s="3">
        <f>Tabla158[[#This Row],[Piezas NOK]]/Tabla158[[#This Row],[Piezas OK]]</f>
        <v>9.433962264150943E-3</v>
      </c>
      <c r="J6" s="1">
        <f t="shared" si="0"/>
        <v>0.99056603773584906</v>
      </c>
      <c r="K6" s="5">
        <f>Tabla158[[#This Row],[FTQ]]</f>
        <v>0.99056603773584906</v>
      </c>
      <c r="M6" s="4">
        <v>46217</v>
      </c>
      <c r="N6" s="1">
        <f>WEEKNUM(Tabla2610[[#This Row],[Fecha]])</f>
        <v>29</v>
      </c>
      <c r="O6" s="1" t="s">
        <v>18</v>
      </c>
      <c r="P6" s="1">
        <v>200</v>
      </c>
      <c r="Q6" s="9">
        <v>12264732</v>
      </c>
      <c r="R6" s="1" t="s">
        <v>26</v>
      </c>
      <c r="S6" s="1">
        <v>1</v>
      </c>
    </row>
    <row r="7" spans="2:19" x14ac:dyDescent="0.3">
      <c r="B7" s="4">
        <v>46217</v>
      </c>
      <c r="C7" s="1">
        <f>WEEKNUM(Tabla158[[#This Row],[Fecha]])</f>
        <v>29</v>
      </c>
      <c r="D7" s="1" t="s">
        <v>18</v>
      </c>
      <c r="E7" s="1">
        <v>300</v>
      </c>
      <c r="F7" s="9">
        <v>12264732</v>
      </c>
      <c r="G7" s="1">
        <v>112</v>
      </c>
      <c r="H7" s="1">
        <v>3</v>
      </c>
      <c r="I7" s="3">
        <f>Tabla158[[#This Row],[Piezas NOK]]/Tabla158[[#This Row],[Piezas OK]]</f>
        <v>2.6785714285714284E-2</v>
      </c>
      <c r="J7" s="1">
        <f t="shared" si="0"/>
        <v>0.9732142857142857</v>
      </c>
      <c r="K7" s="5">
        <f>Tabla158[[#This Row],[FTQ]]</f>
        <v>0.9732142857142857</v>
      </c>
      <c r="M7" s="4">
        <v>46217</v>
      </c>
      <c r="N7" s="1">
        <f>WEEKNUM(Tabla2610[[#This Row],[Fecha]])</f>
        <v>29</v>
      </c>
      <c r="O7" s="1" t="s">
        <v>18</v>
      </c>
      <c r="P7" s="1">
        <v>300</v>
      </c>
      <c r="Q7" s="9">
        <v>12264732</v>
      </c>
      <c r="R7" s="1" t="s">
        <v>27</v>
      </c>
      <c r="S7" s="1">
        <v>3</v>
      </c>
    </row>
    <row r="8" spans="2:19" x14ac:dyDescent="0.3">
      <c r="B8" s="4">
        <v>46217</v>
      </c>
      <c r="C8" s="1">
        <f>WEEKNUM(Tabla158[[#This Row],[Fecha]])</f>
        <v>29</v>
      </c>
      <c r="D8" s="1" t="s">
        <v>18</v>
      </c>
      <c r="E8" s="1">
        <v>400</v>
      </c>
      <c r="F8" s="9">
        <v>12264732</v>
      </c>
      <c r="G8" s="1">
        <v>94</v>
      </c>
      <c r="H8" s="1">
        <v>79</v>
      </c>
      <c r="I8" s="3">
        <f>Tabla158[[#This Row],[Piezas NOK]]/Tabla158[[#This Row],[Piezas OK]]</f>
        <v>0.84042553191489366</v>
      </c>
      <c r="J8" s="1">
        <f t="shared" si="0"/>
        <v>0.15957446808510634</v>
      </c>
      <c r="K8" s="5">
        <f>Tabla158[[#This Row],[FTQ]]</f>
        <v>0.15957446808510634</v>
      </c>
      <c r="M8" s="4">
        <v>46217</v>
      </c>
      <c r="N8" s="1">
        <f>WEEKNUM(Tabla2610[[#This Row],[Fecha]])</f>
        <v>29</v>
      </c>
      <c r="O8" s="1" t="s">
        <v>18</v>
      </c>
      <c r="P8" s="1">
        <v>400</v>
      </c>
      <c r="Q8" s="9">
        <v>12264732</v>
      </c>
      <c r="R8" s="1" t="s">
        <v>20</v>
      </c>
      <c r="S8" s="1">
        <v>79</v>
      </c>
    </row>
    <row r="9" spans="2:19" x14ac:dyDescent="0.3">
      <c r="B9" s="4">
        <v>46217</v>
      </c>
      <c r="C9" s="1">
        <f>WEEKNUM(Tabla158[[#This Row],[Fecha]])</f>
        <v>29</v>
      </c>
      <c r="D9" s="1" t="s">
        <v>18</v>
      </c>
      <c r="E9" s="1">
        <v>600</v>
      </c>
      <c r="F9" s="9">
        <v>12264732</v>
      </c>
      <c r="G9" s="1">
        <v>97</v>
      </c>
      <c r="H9" s="1">
        <v>1</v>
      </c>
      <c r="I9" s="3">
        <f>Tabla158[[#This Row],[Piezas NOK]]/Tabla158[[#This Row],[Piezas OK]]</f>
        <v>1.0309278350515464E-2</v>
      </c>
      <c r="J9" s="1">
        <f t="shared" si="0"/>
        <v>0.98969072164948457</v>
      </c>
      <c r="K9" s="5">
        <f>Tabla158[[#This Row],[FTQ]]</f>
        <v>0.98969072164948457</v>
      </c>
      <c r="M9" s="4">
        <v>46217</v>
      </c>
      <c r="N9" s="1">
        <f>WEEKNUM(Tabla2610[[#This Row],[Fecha]])</f>
        <v>29</v>
      </c>
      <c r="O9" s="1" t="s">
        <v>18</v>
      </c>
      <c r="P9" s="1">
        <v>600</v>
      </c>
      <c r="Q9" s="9">
        <v>12264732</v>
      </c>
      <c r="R9" s="1" t="s">
        <v>28</v>
      </c>
      <c r="S9" s="1">
        <v>1</v>
      </c>
    </row>
    <row r="10" spans="2:19" x14ac:dyDescent="0.3">
      <c r="B10" s="4">
        <v>46217</v>
      </c>
      <c r="C10" s="1">
        <f>WEEKNUM(Tabla158[[#This Row],[Fecha]])</f>
        <v>29</v>
      </c>
      <c r="D10" s="1" t="s">
        <v>18</v>
      </c>
      <c r="E10" s="1">
        <v>700</v>
      </c>
      <c r="F10" s="9">
        <v>12264732</v>
      </c>
      <c r="G10" s="1">
        <v>98</v>
      </c>
      <c r="H10" s="1">
        <v>0</v>
      </c>
      <c r="I10" s="3">
        <f>Tabla158[[#This Row],[Piezas NOK]]/Tabla158[[#This Row],[Piezas OK]]</f>
        <v>0</v>
      </c>
      <c r="J10" s="1">
        <f t="shared" si="0"/>
        <v>1</v>
      </c>
      <c r="K10" s="5">
        <f>Tabla158[[#This Row],[FTQ]]</f>
        <v>1</v>
      </c>
      <c r="M10" s="4">
        <v>46217</v>
      </c>
      <c r="N10" s="1">
        <f>WEEKNUM(Tabla2610[[#This Row],[Fecha]])</f>
        <v>29</v>
      </c>
      <c r="O10" s="1" t="s">
        <v>18</v>
      </c>
      <c r="P10" s="1">
        <v>800</v>
      </c>
      <c r="Q10" s="9">
        <v>12264732</v>
      </c>
      <c r="R10" s="1" t="s">
        <v>21</v>
      </c>
      <c r="S10" s="1">
        <v>3</v>
      </c>
    </row>
    <row r="11" spans="2:19" x14ac:dyDescent="0.3">
      <c r="B11" s="4">
        <v>46217</v>
      </c>
      <c r="C11" s="1">
        <f>WEEKNUM(Tabla158[[#This Row],[Fecha]])</f>
        <v>29</v>
      </c>
      <c r="D11" s="1" t="s">
        <v>18</v>
      </c>
      <c r="E11" s="1">
        <v>800</v>
      </c>
      <c r="F11" s="9">
        <v>12264732</v>
      </c>
      <c r="G11" s="1">
        <v>98</v>
      </c>
      <c r="H11" s="1">
        <v>12</v>
      </c>
      <c r="I11" s="3">
        <f>Tabla158[[#This Row],[Piezas NOK]]/Tabla158[[#This Row],[Piezas OK]]</f>
        <v>0.12244897959183673</v>
      </c>
      <c r="J11" s="1">
        <f t="shared" si="0"/>
        <v>0.87755102040816324</v>
      </c>
      <c r="K11" s="5">
        <f>Tabla158[[#This Row],[FTQ]]</f>
        <v>0.87755102040816324</v>
      </c>
      <c r="M11" s="4">
        <v>46217</v>
      </c>
      <c r="N11" s="1">
        <f>WEEKNUM(Tabla2610[[#This Row],[Fecha]])</f>
        <v>29</v>
      </c>
      <c r="O11" s="1" t="s">
        <v>18</v>
      </c>
      <c r="P11" s="1">
        <v>800</v>
      </c>
      <c r="Q11" s="9">
        <v>12264732</v>
      </c>
      <c r="R11" s="1" t="s">
        <v>22</v>
      </c>
      <c r="S11" s="1">
        <v>9</v>
      </c>
    </row>
    <row r="12" spans="2:19" x14ac:dyDescent="0.3">
      <c r="B12" s="4">
        <v>46217</v>
      </c>
      <c r="C12" s="1">
        <f>WEEKNUM(Tabla158[[#This Row],[Fecha]])</f>
        <v>29</v>
      </c>
      <c r="D12" s="1" t="s">
        <v>18</v>
      </c>
      <c r="E12" s="1">
        <v>900</v>
      </c>
      <c r="F12" s="9">
        <v>12264732</v>
      </c>
      <c r="G12" s="1">
        <v>98</v>
      </c>
      <c r="H12" s="1">
        <v>0</v>
      </c>
      <c r="I12" s="3">
        <f>Tabla158[[#This Row],[Piezas NOK]]/Tabla158[[#This Row],[Piezas OK]]</f>
        <v>0</v>
      </c>
      <c r="J12" s="1">
        <f t="shared" si="0"/>
        <v>1</v>
      </c>
      <c r="K12" s="5">
        <f>Tabla158[[#This Row],[FTQ]]</f>
        <v>1</v>
      </c>
      <c r="M12" s="4">
        <v>46217</v>
      </c>
      <c r="N12" s="1">
        <f>WEEKNUM(Tabla2610[[#This Row],[Fecha]])</f>
        <v>29</v>
      </c>
      <c r="O12" s="1" t="s">
        <v>18</v>
      </c>
      <c r="P12" s="1" t="s">
        <v>15</v>
      </c>
      <c r="Q12" s="9">
        <v>12264732</v>
      </c>
      <c r="R12" s="1" t="s">
        <v>23</v>
      </c>
      <c r="S12" s="1">
        <v>1</v>
      </c>
    </row>
    <row r="13" spans="2:19" x14ac:dyDescent="0.3">
      <c r="B13" s="4">
        <v>46217</v>
      </c>
      <c r="C13" s="1">
        <f>WEEKNUM(Tabla158[[#This Row],[Fecha]])</f>
        <v>29</v>
      </c>
      <c r="D13" s="1" t="s">
        <v>18</v>
      </c>
      <c r="E13" s="1" t="s">
        <v>15</v>
      </c>
      <c r="F13" s="9">
        <v>12264732</v>
      </c>
      <c r="G13" s="1">
        <v>77</v>
      </c>
      <c r="H13" s="1">
        <v>3</v>
      </c>
      <c r="I13" s="3">
        <f>Tabla158[[#This Row],[Piezas NOK]]/Tabla158[[#This Row],[Piezas OK]]</f>
        <v>3.896103896103896E-2</v>
      </c>
      <c r="J13" s="1">
        <f t="shared" si="0"/>
        <v>0.96103896103896103</v>
      </c>
      <c r="K13" s="5">
        <f>Tabla158[[#This Row],[FTQ]]</f>
        <v>0.96103896103896103</v>
      </c>
      <c r="M13" s="4">
        <v>46217</v>
      </c>
      <c r="N13" s="1">
        <f>WEEKNUM(Tabla2610[[#This Row],[Fecha]])</f>
        <v>29</v>
      </c>
      <c r="O13" s="1" t="s">
        <v>18</v>
      </c>
      <c r="P13" s="1" t="s">
        <v>15</v>
      </c>
      <c r="Q13" s="9">
        <v>12264732</v>
      </c>
      <c r="R13" s="1" t="s">
        <v>33</v>
      </c>
      <c r="S13" s="1">
        <v>1</v>
      </c>
    </row>
    <row r="14" spans="2:19" x14ac:dyDescent="0.3">
      <c r="B14" s="4">
        <v>46220</v>
      </c>
      <c r="C14" s="1">
        <f>WEEKNUM(Tabla158[[#This Row],[Fecha]])</f>
        <v>29</v>
      </c>
      <c r="D14" s="1" t="s">
        <v>18</v>
      </c>
      <c r="E14" s="1">
        <v>100</v>
      </c>
      <c r="F14" s="9">
        <v>12264732</v>
      </c>
      <c r="G14" s="1">
        <v>130</v>
      </c>
      <c r="H14" s="1">
        <v>0</v>
      </c>
      <c r="I14" s="3">
        <f>Tabla158[[#This Row],[Piezas NOK]]/Tabla158[[#This Row],[Piezas OK]]</f>
        <v>0</v>
      </c>
      <c r="J14" s="1">
        <f t="shared" ref="J14:J22" si="1">ABS(G$3-I14)</f>
        <v>1</v>
      </c>
      <c r="K14" s="5">
        <f>Tabla158[[#This Row],[FTQ]]</f>
        <v>1</v>
      </c>
      <c r="M14" s="4">
        <v>46217</v>
      </c>
      <c r="N14" s="1">
        <f>WEEKNUM(Tabla2610[[#This Row],[Fecha]])</f>
        <v>29</v>
      </c>
      <c r="O14" s="1" t="s">
        <v>18</v>
      </c>
      <c r="P14" s="1" t="s">
        <v>15</v>
      </c>
      <c r="Q14" s="9">
        <v>12264732</v>
      </c>
      <c r="R14" s="1" t="s">
        <v>16</v>
      </c>
      <c r="S14" s="1">
        <v>1</v>
      </c>
    </row>
    <row r="15" spans="2:19" x14ac:dyDescent="0.3">
      <c r="B15" s="4">
        <v>46220</v>
      </c>
      <c r="C15" s="1">
        <f>WEEKNUM(Tabla158[[#This Row],[Fecha]])</f>
        <v>29</v>
      </c>
      <c r="D15" s="1" t="s">
        <v>18</v>
      </c>
      <c r="E15" s="1">
        <v>200</v>
      </c>
      <c r="F15" s="9">
        <v>12264732</v>
      </c>
      <c r="G15" s="1">
        <v>61</v>
      </c>
      <c r="H15" s="1">
        <v>3</v>
      </c>
      <c r="I15" s="3">
        <f>Tabla158[[#This Row],[Piezas NOK]]/Tabla158[[#This Row],[Piezas OK]]</f>
        <v>4.9180327868852458E-2</v>
      </c>
      <c r="J15" s="1">
        <f t="shared" si="1"/>
        <v>0.95081967213114749</v>
      </c>
      <c r="K15" s="5">
        <f>Tabla158[[#This Row],[FTQ]]</f>
        <v>0.95081967213114749</v>
      </c>
      <c r="M15" s="4">
        <v>46220</v>
      </c>
      <c r="N15" s="1">
        <f>WEEKNUM(Tabla2610[[#This Row],[Fecha]])</f>
        <v>29</v>
      </c>
      <c r="O15" s="1" t="s">
        <v>18</v>
      </c>
      <c r="P15" s="1">
        <v>200</v>
      </c>
      <c r="Q15" s="9">
        <v>12264732</v>
      </c>
      <c r="R15" s="1" t="s">
        <v>26</v>
      </c>
      <c r="S15" s="1">
        <v>3</v>
      </c>
    </row>
    <row r="16" spans="2:19" x14ac:dyDescent="0.3">
      <c r="B16" s="4">
        <v>46220</v>
      </c>
      <c r="C16" s="1">
        <f>WEEKNUM(Tabla158[[#This Row],[Fecha]])</f>
        <v>29</v>
      </c>
      <c r="D16" s="1" t="s">
        <v>18</v>
      </c>
      <c r="E16" s="1">
        <v>300</v>
      </c>
      <c r="F16" s="9">
        <v>12264732</v>
      </c>
      <c r="G16" s="1">
        <v>70</v>
      </c>
      <c r="H16" s="1">
        <v>20</v>
      </c>
      <c r="I16" s="3">
        <f>Tabla158[[#This Row],[Piezas NOK]]/Tabla158[[#This Row],[Piezas OK]]</f>
        <v>0.2857142857142857</v>
      </c>
      <c r="J16" s="1">
        <f t="shared" si="1"/>
        <v>0.7142857142857143</v>
      </c>
      <c r="K16" s="5">
        <f>Tabla158[[#This Row],[FTQ]]</f>
        <v>0.7142857142857143</v>
      </c>
      <c r="M16" s="4">
        <v>46220</v>
      </c>
      <c r="N16" s="1">
        <f>WEEKNUM(Tabla2610[[#This Row],[Fecha]])</f>
        <v>29</v>
      </c>
      <c r="O16" s="1" t="s">
        <v>18</v>
      </c>
      <c r="P16" s="1">
        <v>300</v>
      </c>
      <c r="Q16" s="9">
        <v>12264732</v>
      </c>
      <c r="R16" s="1" t="s">
        <v>24</v>
      </c>
      <c r="S16" s="1">
        <v>5</v>
      </c>
    </row>
    <row r="17" spans="2:19" x14ac:dyDescent="0.3">
      <c r="B17" s="4">
        <v>46220</v>
      </c>
      <c r="C17" s="1">
        <f>WEEKNUM(Tabla158[[#This Row],[Fecha]])</f>
        <v>29</v>
      </c>
      <c r="D17" s="1" t="s">
        <v>18</v>
      </c>
      <c r="E17" s="1">
        <v>400</v>
      </c>
      <c r="F17" s="9">
        <v>12264732</v>
      </c>
      <c r="G17" s="1">
        <v>77</v>
      </c>
      <c r="H17" s="1">
        <v>35</v>
      </c>
      <c r="I17" s="3">
        <f>Tabla158[[#This Row],[Piezas NOK]]/Tabla158[[#This Row],[Piezas OK]]</f>
        <v>0.45454545454545453</v>
      </c>
      <c r="J17" s="1">
        <f t="shared" si="1"/>
        <v>0.54545454545454541</v>
      </c>
      <c r="K17" s="5">
        <f>Tabla158[[#This Row],[FTQ]]</f>
        <v>0.54545454545454541</v>
      </c>
      <c r="M17" s="4">
        <v>46220</v>
      </c>
      <c r="N17" s="1">
        <f>WEEKNUM(Tabla2610[[#This Row],[Fecha]])</f>
        <v>29</v>
      </c>
      <c r="O17" s="1" t="s">
        <v>18</v>
      </c>
      <c r="P17" s="1">
        <v>300</v>
      </c>
      <c r="Q17" s="9">
        <v>12264732</v>
      </c>
      <c r="R17" s="1" t="s">
        <v>25</v>
      </c>
      <c r="S17" s="1">
        <v>10</v>
      </c>
    </row>
    <row r="18" spans="2:19" x14ac:dyDescent="0.3">
      <c r="B18" s="4">
        <v>46220</v>
      </c>
      <c r="C18" s="1">
        <f>WEEKNUM(Tabla158[[#This Row],[Fecha]])</f>
        <v>29</v>
      </c>
      <c r="D18" s="1" t="s">
        <v>18</v>
      </c>
      <c r="E18" s="1">
        <v>600</v>
      </c>
      <c r="F18" s="9">
        <v>12264732</v>
      </c>
      <c r="G18" s="1">
        <v>77</v>
      </c>
      <c r="H18" s="1">
        <v>8</v>
      </c>
      <c r="I18" s="3">
        <f>Tabla158[[#This Row],[Piezas NOK]]/Tabla158[[#This Row],[Piezas OK]]</f>
        <v>0.1038961038961039</v>
      </c>
      <c r="J18" s="1">
        <f t="shared" si="1"/>
        <v>0.89610389610389607</v>
      </c>
      <c r="K18" s="5">
        <f>Tabla158[[#This Row],[FTQ]]</f>
        <v>0.89610389610389607</v>
      </c>
      <c r="M18" s="4">
        <v>46220</v>
      </c>
      <c r="N18" s="1">
        <f>WEEKNUM(Tabla2610[[#This Row],[Fecha]])</f>
        <v>29</v>
      </c>
      <c r="O18" s="1" t="s">
        <v>18</v>
      </c>
      <c r="P18" s="1">
        <v>300</v>
      </c>
      <c r="Q18" s="9">
        <v>12264732</v>
      </c>
      <c r="R18" s="1" t="s">
        <v>27</v>
      </c>
      <c r="S18" s="1">
        <v>5</v>
      </c>
    </row>
    <row r="19" spans="2:19" x14ac:dyDescent="0.3">
      <c r="B19" s="4">
        <v>46220</v>
      </c>
      <c r="C19" s="1">
        <f>WEEKNUM(Tabla158[[#This Row],[Fecha]])</f>
        <v>29</v>
      </c>
      <c r="D19" s="1" t="s">
        <v>18</v>
      </c>
      <c r="E19" s="1">
        <v>700</v>
      </c>
      <c r="F19" s="9">
        <v>12264732</v>
      </c>
      <c r="G19" s="1">
        <v>61</v>
      </c>
      <c r="H19" s="1">
        <v>5</v>
      </c>
      <c r="I19" s="3">
        <f>Tabla158[[#This Row],[Piezas NOK]]/Tabla158[[#This Row],[Piezas OK]]</f>
        <v>8.1967213114754092E-2</v>
      </c>
      <c r="J19" s="1">
        <f t="shared" si="1"/>
        <v>0.91803278688524592</v>
      </c>
      <c r="K19" s="5">
        <f>Tabla158[[#This Row],[FTQ]]</f>
        <v>0.91803278688524592</v>
      </c>
      <c r="M19" s="4">
        <v>46220</v>
      </c>
      <c r="N19" s="1">
        <f>WEEKNUM(Tabla2610[[#This Row],[Fecha]])</f>
        <v>29</v>
      </c>
      <c r="O19" s="1" t="s">
        <v>18</v>
      </c>
      <c r="P19" s="1">
        <v>400</v>
      </c>
      <c r="Q19" s="9">
        <v>12264732</v>
      </c>
      <c r="R19" s="1" t="s">
        <v>29</v>
      </c>
      <c r="S19" s="1">
        <v>3</v>
      </c>
    </row>
    <row r="20" spans="2:19" x14ac:dyDescent="0.3">
      <c r="B20" s="4">
        <v>46220</v>
      </c>
      <c r="C20" s="1">
        <f>WEEKNUM(Tabla158[[#This Row],[Fecha]])</f>
        <v>29</v>
      </c>
      <c r="D20" s="1" t="s">
        <v>18</v>
      </c>
      <c r="E20" s="1">
        <v>800</v>
      </c>
      <c r="F20" s="9">
        <v>12264732</v>
      </c>
      <c r="G20" s="1">
        <v>55</v>
      </c>
      <c r="H20" s="1">
        <v>3</v>
      </c>
      <c r="I20" s="3">
        <f>Tabla158[[#This Row],[Piezas NOK]]/Tabla158[[#This Row],[Piezas OK]]</f>
        <v>5.4545454545454543E-2</v>
      </c>
      <c r="J20" s="1">
        <f t="shared" si="1"/>
        <v>0.94545454545454544</v>
      </c>
      <c r="K20" s="5">
        <f>Tabla158[[#This Row],[FTQ]]</f>
        <v>0.94545454545454544</v>
      </c>
      <c r="M20" s="4">
        <v>46220</v>
      </c>
      <c r="N20" s="1">
        <f>WEEKNUM(Tabla2610[[#This Row],[Fecha]])</f>
        <v>29</v>
      </c>
      <c r="O20" s="1" t="s">
        <v>18</v>
      </c>
      <c r="P20" s="1">
        <v>400</v>
      </c>
      <c r="Q20" s="9">
        <v>12264732</v>
      </c>
      <c r="R20" s="1" t="s">
        <v>34</v>
      </c>
      <c r="S20" s="1">
        <v>3</v>
      </c>
    </row>
    <row r="21" spans="2:19" x14ac:dyDescent="0.3">
      <c r="B21" s="4">
        <v>46220</v>
      </c>
      <c r="C21" s="1">
        <f>WEEKNUM(Tabla158[[#This Row],[Fecha]])</f>
        <v>29</v>
      </c>
      <c r="D21" s="1" t="s">
        <v>18</v>
      </c>
      <c r="E21" s="1">
        <v>900</v>
      </c>
      <c r="F21" s="9">
        <v>12264732</v>
      </c>
      <c r="G21" s="1">
        <v>55</v>
      </c>
      <c r="H21" s="1">
        <v>4</v>
      </c>
      <c r="I21" s="3">
        <f>Tabla158[[#This Row],[Piezas NOK]]/Tabla158[[#This Row],[Piezas OK]]</f>
        <v>7.2727272727272724E-2</v>
      </c>
      <c r="J21" s="1">
        <f t="shared" si="1"/>
        <v>0.92727272727272725</v>
      </c>
      <c r="K21" s="5">
        <f>Tabla158[[#This Row],[FTQ]]</f>
        <v>0.92727272727272725</v>
      </c>
      <c r="M21" s="4">
        <v>46220</v>
      </c>
      <c r="N21" s="1">
        <f>WEEKNUM(Tabla2610[[#This Row],[Fecha]])</f>
        <v>29</v>
      </c>
      <c r="O21" s="1" t="s">
        <v>18</v>
      </c>
      <c r="P21" s="1">
        <v>400</v>
      </c>
      <c r="Q21" s="9">
        <v>12264732</v>
      </c>
      <c r="R21" s="1" t="s">
        <v>30</v>
      </c>
      <c r="S21" s="1">
        <v>21</v>
      </c>
    </row>
    <row r="22" spans="2:19" x14ac:dyDescent="0.3">
      <c r="B22" s="4">
        <v>46220</v>
      </c>
      <c r="C22" s="1">
        <f>WEEKNUM(Tabla158[[#This Row],[Fecha]])</f>
        <v>29</v>
      </c>
      <c r="D22" s="1" t="s">
        <v>18</v>
      </c>
      <c r="E22" s="1" t="s">
        <v>15</v>
      </c>
      <c r="F22" s="9">
        <v>12264732</v>
      </c>
      <c r="G22" s="1">
        <v>36</v>
      </c>
      <c r="H22" s="1">
        <v>1</v>
      </c>
      <c r="I22" s="3">
        <f>Tabla158[[#This Row],[Piezas NOK]]/Tabla158[[#This Row],[Piezas OK]]</f>
        <v>2.7777777777777776E-2</v>
      </c>
      <c r="J22" s="1">
        <f t="shared" si="1"/>
        <v>0.97222222222222221</v>
      </c>
      <c r="K22" s="5">
        <f>Tabla158[[#This Row],[FTQ]]</f>
        <v>0.97222222222222221</v>
      </c>
      <c r="M22" s="4">
        <v>46220</v>
      </c>
      <c r="N22" s="1">
        <f>WEEKNUM(Tabla2610[[#This Row],[Fecha]])</f>
        <v>29</v>
      </c>
      <c r="O22" s="1" t="s">
        <v>18</v>
      </c>
      <c r="P22" s="1">
        <v>400</v>
      </c>
      <c r="Q22" s="9">
        <v>12264732</v>
      </c>
      <c r="R22" s="1" t="s">
        <v>37</v>
      </c>
      <c r="S22" s="1">
        <v>3</v>
      </c>
    </row>
    <row r="23" spans="2:19" x14ac:dyDescent="0.3">
      <c r="B23" s="4">
        <v>46220</v>
      </c>
      <c r="C23" s="1">
        <f>WEEKNUM(Tabla158[[#This Row],[Fecha]])</f>
        <v>29</v>
      </c>
      <c r="D23" s="1" t="s">
        <v>18</v>
      </c>
      <c r="E23" s="1" t="s">
        <v>17</v>
      </c>
      <c r="F23" s="9">
        <v>12264732</v>
      </c>
      <c r="G23" s="1">
        <v>20</v>
      </c>
      <c r="H23" s="1">
        <v>0</v>
      </c>
      <c r="I23" s="3">
        <f>Tabla158[[#This Row],[Piezas NOK]]/Tabla158[[#This Row],[Piezas OK]]</f>
        <v>0</v>
      </c>
      <c r="J23" s="1">
        <f>ABS(G$3-I23)</f>
        <v>1</v>
      </c>
      <c r="K23" s="5">
        <f>Tabla158[[#This Row],[FTQ]]</f>
        <v>1</v>
      </c>
      <c r="M23" s="4">
        <v>46220</v>
      </c>
      <c r="N23" s="1">
        <f>WEEKNUM(Tabla2610[[#This Row],[Fecha]])</f>
        <v>29</v>
      </c>
      <c r="O23" s="1" t="s">
        <v>18</v>
      </c>
      <c r="P23" s="1">
        <v>400</v>
      </c>
      <c r="Q23" s="9">
        <v>12264732</v>
      </c>
      <c r="R23" s="1" t="s">
        <v>36</v>
      </c>
      <c r="S23" s="1">
        <v>5</v>
      </c>
    </row>
    <row r="24" spans="2:19" x14ac:dyDescent="0.3">
      <c r="B24" s="4">
        <v>46220</v>
      </c>
      <c r="C24" s="1">
        <f>WEEKNUM(Tabla158[[#This Row],[Fecha]])</f>
        <v>29</v>
      </c>
      <c r="D24" s="1" t="s">
        <v>18</v>
      </c>
      <c r="E24" s="1">
        <v>100</v>
      </c>
      <c r="F24" s="9">
        <v>12264714</v>
      </c>
      <c r="G24" s="1">
        <v>24</v>
      </c>
      <c r="H24" s="1">
        <v>0</v>
      </c>
      <c r="I24" s="3">
        <f>Tabla158[[#This Row],[Piezas NOK]]/Tabla158[[#This Row],[Piezas OK]]</f>
        <v>0</v>
      </c>
      <c r="J24" s="1">
        <f t="shared" ref="J24:J32" si="2">ABS(G$3-I24)</f>
        <v>1</v>
      </c>
      <c r="K24" s="5">
        <f>Tabla158[[#This Row],[FTQ]]</f>
        <v>1</v>
      </c>
      <c r="M24" s="4">
        <v>46220</v>
      </c>
      <c r="N24" s="1">
        <f>WEEKNUM(Tabla2610[[#This Row],[Fecha]])</f>
        <v>29</v>
      </c>
      <c r="O24" s="1" t="s">
        <v>18</v>
      </c>
      <c r="P24" s="1">
        <v>600</v>
      </c>
      <c r="Q24" s="9">
        <v>12264732</v>
      </c>
      <c r="R24" s="1" t="s">
        <v>28</v>
      </c>
      <c r="S24" s="1">
        <v>8</v>
      </c>
    </row>
    <row r="25" spans="2:19" x14ac:dyDescent="0.3">
      <c r="B25" s="4">
        <v>46220</v>
      </c>
      <c r="C25" s="1">
        <f>WEEKNUM(Tabla158[[#This Row],[Fecha]])</f>
        <v>29</v>
      </c>
      <c r="D25" s="1" t="s">
        <v>18</v>
      </c>
      <c r="E25" s="1">
        <v>200</v>
      </c>
      <c r="F25" s="9">
        <v>12264714</v>
      </c>
      <c r="G25" s="1">
        <v>24</v>
      </c>
      <c r="H25" s="1">
        <v>0</v>
      </c>
      <c r="I25" s="3">
        <f>Tabla158[[#This Row],[Piezas NOK]]/Tabla158[[#This Row],[Piezas OK]]</f>
        <v>0</v>
      </c>
      <c r="J25" s="1">
        <f t="shared" si="2"/>
        <v>1</v>
      </c>
      <c r="K25" s="5">
        <f>Tabla158[[#This Row],[FTQ]]</f>
        <v>1</v>
      </c>
      <c r="M25" s="4">
        <v>46220</v>
      </c>
      <c r="N25" s="1">
        <f>WEEKNUM(Tabla2610[[#This Row],[Fecha]])</f>
        <v>29</v>
      </c>
      <c r="O25" s="1" t="s">
        <v>18</v>
      </c>
      <c r="P25" s="1">
        <v>600</v>
      </c>
      <c r="Q25" s="9">
        <v>12264714</v>
      </c>
      <c r="R25" s="1" t="s">
        <v>28</v>
      </c>
      <c r="S25" s="1">
        <v>1</v>
      </c>
    </row>
    <row r="26" spans="2:19" x14ac:dyDescent="0.3">
      <c r="B26" s="4">
        <v>46220</v>
      </c>
      <c r="C26" s="1">
        <f>WEEKNUM(Tabla158[[#This Row],[Fecha]])</f>
        <v>29</v>
      </c>
      <c r="D26" s="1" t="s">
        <v>18</v>
      </c>
      <c r="E26" s="1">
        <v>300</v>
      </c>
      <c r="F26" s="9">
        <v>12264714</v>
      </c>
      <c r="G26" s="1">
        <v>13</v>
      </c>
      <c r="H26" s="1">
        <v>0</v>
      </c>
      <c r="I26" s="3">
        <f>Tabla158[[#This Row],[Piezas NOK]]/Tabla158[[#This Row],[Piezas OK]]</f>
        <v>0</v>
      </c>
      <c r="J26" s="1">
        <f t="shared" si="2"/>
        <v>1</v>
      </c>
      <c r="K26" s="5">
        <f>Tabla158[[#This Row],[FTQ]]</f>
        <v>1</v>
      </c>
      <c r="M26" s="4">
        <v>46220</v>
      </c>
      <c r="N26" s="1">
        <f>WEEKNUM(Tabla2610[[#This Row],[Fecha]])</f>
        <v>29</v>
      </c>
      <c r="O26" s="1" t="s">
        <v>18</v>
      </c>
      <c r="P26" s="1">
        <v>700</v>
      </c>
      <c r="Q26" s="9">
        <v>12264732</v>
      </c>
      <c r="R26" s="1" t="s">
        <v>40</v>
      </c>
      <c r="S26" s="1">
        <v>4</v>
      </c>
    </row>
    <row r="27" spans="2:19" x14ac:dyDescent="0.3">
      <c r="B27" s="4">
        <v>46220</v>
      </c>
      <c r="C27" s="1">
        <f>WEEKNUM(Tabla158[[#This Row],[Fecha]])</f>
        <v>29</v>
      </c>
      <c r="D27" s="1" t="s">
        <v>18</v>
      </c>
      <c r="E27" s="1">
        <v>400</v>
      </c>
      <c r="F27" s="9">
        <v>12264714</v>
      </c>
      <c r="G27" s="1">
        <v>13</v>
      </c>
      <c r="H27" s="1">
        <v>0</v>
      </c>
      <c r="I27" s="3">
        <f>Tabla158[[#This Row],[Piezas NOK]]/Tabla158[[#This Row],[Piezas OK]]</f>
        <v>0</v>
      </c>
      <c r="J27" s="1">
        <f t="shared" si="2"/>
        <v>1</v>
      </c>
      <c r="K27" s="5">
        <f>Tabla158[[#This Row],[FTQ]]</f>
        <v>1</v>
      </c>
      <c r="M27" s="4">
        <v>46220</v>
      </c>
      <c r="N27" s="1">
        <f>WEEKNUM(Tabla2610[[#This Row],[Fecha]])</f>
        <v>29</v>
      </c>
      <c r="O27" s="1" t="s">
        <v>18</v>
      </c>
      <c r="P27" s="1">
        <v>700</v>
      </c>
      <c r="Q27" s="9">
        <v>12264732</v>
      </c>
      <c r="R27" s="1" t="s">
        <v>31</v>
      </c>
      <c r="S27" s="1">
        <v>1</v>
      </c>
    </row>
    <row r="28" spans="2:19" x14ac:dyDescent="0.3">
      <c r="B28" s="4">
        <v>46220</v>
      </c>
      <c r="C28" s="1">
        <f>WEEKNUM(Tabla158[[#This Row],[Fecha]])</f>
        <v>29</v>
      </c>
      <c r="D28" s="1" t="s">
        <v>18</v>
      </c>
      <c r="E28" s="1">
        <v>600</v>
      </c>
      <c r="F28" s="9">
        <v>12264714</v>
      </c>
      <c r="G28" s="1">
        <v>15</v>
      </c>
      <c r="H28" s="1">
        <v>1</v>
      </c>
      <c r="I28" s="3">
        <f>Tabla158[[#This Row],[Piezas NOK]]/Tabla158[[#This Row],[Piezas OK]]</f>
        <v>6.6666666666666666E-2</v>
      </c>
      <c r="J28" s="1">
        <f t="shared" si="2"/>
        <v>0.93333333333333335</v>
      </c>
      <c r="K28" s="5">
        <f>Tabla158[[#This Row],[FTQ]]</f>
        <v>0.93333333333333335</v>
      </c>
      <c r="M28" s="4">
        <v>46220</v>
      </c>
      <c r="N28" s="1">
        <f>WEEKNUM(Tabla2610[[#This Row],[Fecha]])</f>
        <v>29</v>
      </c>
      <c r="O28" s="1" t="s">
        <v>18</v>
      </c>
      <c r="P28" s="1">
        <v>800</v>
      </c>
      <c r="Q28" s="9">
        <v>12264732</v>
      </c>
      <c r="R28" s="1" t="s">
        <v>22</v>
      </c>
      <c r="S28" s="1">
        <v>3</v>
      </c>
    </row>
    <row r="29" spans="2:19" x14ac:dyDescent="0.3">
      <c r="B29" s="4">
        <v>46220</v>
      </c>
      <c r="C29" s="1">
        <f>WEEKNUM(Tabla158[[#This Row],[Fecha]])</f>
        <v>29</v>
      </c>
      <c r="D29" s="1" t="s">
        <v>18</v>
      </c>
      <c r="E29" s="1">
        <v>700</v>
      </c>
      <c r="F29" s="9">
        <v>12264714</v>
      </c>
      <c r="G29" s="1">
        <v>15</v>
      </c>
      <c r="H29" s="1">
        <v>0</v>
      </c>
      <c r="I29" s="3">
        <f>Tabla158[[#This Row],[Piezas NOK]]/Tabla158[[#This Row],[Piezas OK]]</f>
        <v>0</v>
      </c>
      <c r="J29" s="1">
        <f t="shared" si="2"/>
        <v>1</v>
      </c>
      <c r="K29" s="5">
        <f>Tabla158[[#This Row],[FTQ]]</f>
        <v>1</v>
      </c>
      <c r="M29" s="4">
        <v>46220</v>
      </c>
      <c r="N29" s="1">
        <f>WEEKNUM(Tabla2610[[#This Row],[Fecha]])</f>
        <v>29</v>
      </c>
      <c r="O29" s="1" t="s">
        <v>18</v>
      </c>
      <c r="P29" s="1">
        <v>900</v>
      </c>
      <c r="Q29" s="9">
        <v>12264732</v>
      </c>
      <c r="R29" s="1" t="s">
        <v>32</v>
      </c>
      <c r="S29" s="1">
        <v>4</v>
      </c>
    </row>
    <row r="30" spans="2:19" x14ac:dyDescent="0.3">
      <c r="B30" s="4">
        <v>46220</v>
      </c>
      <c r="C30" s="1">
        <f>WEEKNUM(Tabla158[[#This Row],[Fecha]])</f>
        <v>29</v>
      </c>
      <c r="D30" s="1" t="s">
        <v>18</v>
      </c>
      <c r="E30" s="1">
        <v>800</v>
      </c>
      <c r="F30" s="9">
        <v>12264714</v>
      </c>
      <c r="G30" s="1">
        <v>13</v>
      </c>
      <c r="H30" s="1">
        <v>0</v>
      </c>
      <c r="I30" s="3">
        <f>Tabla158[[#This Row],[Piezas NOK]]/Tabla158[[#This Row],[Piezas OK]]</f>
        <v>0</v>
      </c>
      <c r="J30" s="1">
        <f t="shared" si="2"/>
        <v>1</v>
      </c>
      <c r="K30" s="5">
        <f>Tabla158[[#This Row],[FTQ]]</f>
        <v>1</v>
      </c>
      <c r="M30" s="4">
        <v>46220</v>
      </c>
      <c r="N30" s="1">
        <f>WEEKNUM(Tabla2610[[#This Row],[Fecha]])</f>
        <v>29</v>
      </c>
      <c r="O30" s="1" t="s">
        <v>18</v>
      </c>
      <c r="P30" s="1" t="s">
        <v>15</v>
      </c>
      <c r="Q30" s="9">
        <v>12264732</v>
      </c>
      <c r="R30" s="1" t="s">
        <v>44</v>
      </c>
      <c r="S30" s="1">
        <v>1</v>
      </c>
    </row>
    <row r="31" spans="2:19" x14ac:dyDescent="0.3">
      <c r="B31" s="4">
        <v>46220</v>
      </c>
      <c r="C31" s="1">
        <f>WEEKNUM(Tabla158[[#This Row],[Fecha]])</f>
        <v>29</v>
      </c>
      <c r="D31" s="1" t="s">
        <v>18</v>
      </c>
      <c r="E31" s="1">
        <v>900</v>
      </c>
      <c r="F31" s="9">
        <v>12264714</v>
      </c>
      <c r="G31" s="1">
        <v>4</v>
      </c>
      <c r="H31" s="1">
        <v>0</v>
      </c>
      <c r="I31" s="3">
        <f>Tabla158[[#This Row],[Piezas NOK]]/Tabla158[[#This Row],[Piezas OK]]</f>
        <v>0</v>
      </c>
      <c r="J31" s="1">
        <f t="shared" si="2"/>
        <v>1</v>
      </c>
      <c r="K31" s="5">
        <f>Tabla158[[#This Row],[FTQ]]</f>
        <v>1</v>
      </c>
      <c r="M31" s="4">
        <v>46223</v>
      </c>
      <c r="N31" s="1">
        <f>WEEKNUM(Tabla2610[[#This Row],[Fecha]])</f>
        <v>30</v>
      </c>
      <c r="O31" s="1" t="s">
        <v>18</v>
      </c>
      <c r="P31" s="1">
        <v>200</v>
      </c>
      <c r="Q31" s="9">
        <v>12264714</v>
      </c>
      <c r="R31" s="1" t="s">
        <v>26</v>
      </c>
      <c r="S31" s="1">
        <v>1</v>
      </c>
    </row>
    <row r="32" spans="2:19" x14ac:dyDescent="0.3">
      <c r="B32" s="4">
        <v>46220</v>
      </c>
      <c r="C32" s="1">
        <f>WEEKNUM(Tabla158[[#This Row],[Fecha]])</f>
        <v>29</v>
      </c>
      <c r="D32" s="1" t="s">
        <v>18</v>
      </c>
      <c r="E32" s="1" t="s">
        <v>15</v>
      </c>
      <c r="F32" s="9">
        <v>12264714</v>
      </c>
      <c r="G32" s="1">
        <v>3</v>
      </c>
      <c r="H32" s="1">
        <v>0</v>
      </c>
      <c r="I32" s="3">
        <f>Tabla158[[#This Row],[Piezas NOK]]/Tabla158[[#This Row],[Piezas OK]]</f>
        <v>0</v>
      </c>
      <c r="J32" s="1">
        <f t="shared" si="2"/>
        <v>1</v>
      </c>
      <c r="K32" s="5">
        <f>Tabla158[[#This Row],[FTQ]]</f>
        <v>1</v>
      </c>
      <c r="M32" s="4">
        <v>46223</v>
      </c>
      <c r="N32" s="1">
        <f>WEEKNUM(Tabla2610[[#This Row],[Fecha]])</f>
        <v>30</v>
      </c>
      <c r="O32" s="1" t="s">
        <v>18</v>
      </c>
      <c r="P32" s="1">
        <v>300</v>
      </c>
      <c r="Q32" s="9">
        <v>12264714</v>
      </c>
      <c r="R32" s="1" t="s">
        <v>25</v>
      </c>
      <c r="S32" s="1">
        <v>4</v>
      </c>
    </row>
    <row r="33" spans="2:19" x14ac:dyDescent="0.3">
      <c r="B33" s="4">
        <v>46220</v>
      </c>
      <c r="C33" s="1">
        <f>WEEKNUM(Tabla158[[#This Row],[Fecha]])</f>
        <v>29</v>
      </c>
      <c r="D33" s="1" t="s">
        <v>18</v>
      </c>
      <c r="E33" s="1" t="s">
        <v>17</v>
      </c>
      <c r="F33" s="9">
        <v>12264714</v>
      </c>
      <c r="G33" s="1">
        <v>1</v>
      </c>
      <c r="H33" s="1">
        <v>0</v>
      </c>
      <c r="I33" s="3">
        <f>Tabla158[[#This Row],[Piezas NOK]]/Tabla158[[#This Row],[Piezas OK]]</f>
        <v>0</v>
      </c>
      <c r="J33" s="1">
        <f>ABS(G$3-I33)</f>
        <v>1</v>
      </c>
      <c r="K33" s="5">
        <f>Tabla158[[#This Row],[FTQ]]</f>
        <v>1</v>
      </c>
      <c r="M33" s="4">
        <v>46223</v>
      </c>
      <c r="N33" s="1">
        <f>WEEKNUM(Tabla2610[[#This Row],[Fecha]])</f>
        <v>30</v>
      </c>
      <c r="O33" s="1" t="s">
        <v>18</v>
      </c>
      <c r="P33" s="1">
        <v>400</v>
      </c>
      <c r="Q33" s="9">
        <v>12264714</v>
      </c>
      <c r="R33" s="1" t="s">
        <v>29</v>
      </c>
      <c r="S33" s="1">
        <v>1</v>
      </c>
    </row>
    <row r="34" spans="2:19" x14ac:dyDescent="0.3">
      <c r="B34" s="4">
        <v>46223</v>
      </c>
      <c r="C34" s="1">
        <f>WEEKNUM(Tabla158[[#This Row],[Fecha]])</f>
        <v>30</v>
      </c>
      <c r="D34" s="1" t="s">
        <v>18</v>
      </c>
      <c r="E34" s="1">
        <v>100</v>
      </c>
      <c r="F34" s="9">
        <v>12264714</v>
      </c>
      <c r="G34" s="1">
        <v>78</v>
      </c>
      <c r="H34" s="1">
        <v>0</v>
      </c>
      <c r="I34" s="3">
        <f>Tabla158[[#This Row],[Piezas NOK]]/Tabla158[[#This Row],[Piezas OK]]</f>
        <v>0</v>
      </c>
      <c r="J34" s="1">
        <f t="shared" ref="J34:J44" si="3">ABS(G$3-I34)</f>
        <v>1</v>
      </c>
      <c r="K34" s="5">
        <f>Tabla158[[#This Row],[FTQ]]</f>
        <v>1</v>
      </c>
      <c r="M34" s="4">
        <v>46223</v>
      </c>
      <c r="N34" s="1">
        <f>WEEKNUM(Tabla2610[[#This Row],[Fecha]])</f>
        <v>30</v>
      </c>
      <c r="O34" s="1" t="s">
        <v>18</v>
      </c>
      <c r="P34" s="1">
        <v>400</v>
      </c>
      <c r="Q34" s="9">
        <v>12264714</v>
      </c>
      <c r="R34" s="1" t="s">
        <v>34</v>
      </c>
      <c r="S34" s="1">
        <v>3</v>
      </c>
    </row>
    <row r="35" spans="2:19" x14ac:dyDescent="0.3">
      <c r="B35" s="4">
        <v>46223</v>
      </c>
      <c r="C35" s="1">
        <f>WEEKNUM(Tabla158[[#This Row],[Fecha]])</f>
        <v>30</v>
      </c>
      <c r="D35" s="1" t="s">
        <v>18</v>
      </c>
      <c r="E35" s="1">
        <v>200</v>
      </c>
      <c r="F35" s="9">
        <v>12264714</v>
      </c>
      <c r="G35" s="1">
        <v>69</v>
      </c>
      <c r="H35" s="10">
        <v>1</v>
      </c>
      <c r="I35" s="3">
        <f>Tabla158[[#This Row],[Piezas NOK]]/Tabla158[[#This Row],[Piezas OK]]</f>
        <v>1.4492753623188406E-2</v>
      </c>
      <c r="J35" s="1">
        <f t="shared" si="3"/>
        <v>0.98550724637681164</v>
      </c>
      <c r="K35" s="5">
        <f>Tabla158[[#This Row],[FTQ]]</f>
        <v>0.98550724637681164</v>
      </c>
      <c r="M35" s="4">
        <v>46223</v>
      </c>
      <c r="N35" s="1">
        <f>WEEKNUM(Tabla2610[[#This Row],[Fecha]])</f>
        <v>30</v>
      </c>
      <c r="O35" s="1" t="s">
        <v>18</v>
      </c>
      <c r="P35" s="1">
        <v>400</v>
      </c>
      <c r="Q35" s="9">
        <v>12264714</v>
      </c>
      <c r="R35" s="1" t="s">
        <v>30</v>
      </c>
      <c r="S35" s="1">
        <v>1</v>
      </c>
    </row>
    <row r="36" spans="2:19" x14ac:dyDescent="0.3">
      <c r="B36" s="4">
        <v>46223</v>
      </c>
      <c r="C36" s="1">
        <f>WEEKNUM(Tabla158[[#This Row],[Fecha]])</f>
        <v>30</v>
      </c>
      <c r="D36" s="1" t="s">
        <v>18</v>
      </c>
      <c r="E36" s="1">
        <v>300</v>
      </c>
      <c r="F36" s="9">
        <v>12264714</v>
      </c>
      <c r="G36" s="1">
        <v>66</v>
      </c>
      <c r="H36" s="1">
        <v>4</v>
      </c>
      <c r="I36" s="3">
        <f>Tabla158[[#This Row],[Piezas NOK]]/Tabla158[[#This Row],[Piezas OK]]</f>
        <v>6.0606060606060608E-2</v>
      </c>
      <c r="J36" s="1">
        <f t="shared" si="3"/>
        <v>0.93939393939393945</v>
      </c>
      <c r="K36" s="5">
        <f>Tabla158[[#This Row],[FTQ]]</f>
        <v>0.93939393939393945</v>
      </c>
      <c r="M36" s="4">
        <v>46223</v>
      </c>
      <c r="N36" s="1">
        <f>WEEKNUM(Tabla2610[[#This Row],[Fecha]])</f>
        <v>30</v>
      </c>
      <c r="O36" s="1" t="s">
        <v>18</v>
      </c>
      <c r="P36" s="1">
        <v>400</v>
      </c>
      <c r="Q36" s="9">
        <v>12264714</v>
      </c>
      <c r="R36" s="1" t="s">
        <v>37</v>
      </c>
      <c r="S36" s="1">
        <v>2</v>
      </c>
    </row>
    <row r="37" spans="2:19" x14ac:dyDescent="0.3">
      <c r="B37" s="4">
        <v>46223</v>
      </c>
      <c r="C37" s="1">
        <f>WEEKNUM(Tabla158[[#This Row],[Fecha]])</f>
        <v>30</v>
      </c>
      <c r="D37" s="1" t="s">
        <v>18</v>
      </c>
      <c r="E37" s="1">
        <v>400</v>
      </c>
      <c r="F37" s="9">
        <v>12264714</v>
      </c>
      <c r="G37" s="1">
        <v>50</v>
      </c>
      <c r="H37" s="1">
        <v>24</v>
      </c>
      <c r="I37" s="3">
        <f>Tabla158[[#This Row],[Piezas NOK]]/Tabla158[[#This Row],[Piezas OK]]</f>
        <v>0.48</v>
      </c>
      <c r="J37" s="1">
        <f t="shared" si="3"/>
        <v>0.52</v>
      </c>
      <c r="K37" s="5">
        <f>Tabla158[[#This Row],[FTQ]]</f>
        <v>0.52</v>
      </c>
      <c r="M37" s="4">
        <v>46223</v>
      </c>
      <c r="N37" s="1">
        <f>WEEKNUM(Tabla2610[[#This Row],[Fecha]])</f>
        <v>30</v>
      </c>
      <c r="O37" s="1" t="s">
        <v>18</v>
      </c>
      <c r="P37" s="1">
        <v>400</v>
      </c>
      <c r="Q37" s="9">
        <v>12264714</v>
      </c>
      <c r="R37" s="1" t="s">
        <v>36</v>
      </c>
      <c r="S37" s="1">
        <v>3</v>
      </c>
    </row>
    <row r="38" spans="2:19" x14ac:dyDescent="0.3">
      <c r="B38" s="4">
        <v>46223</v>
      </c>
      <c r="C38" s="1">
        <f>WEEKNUM(Tabla158[[#This Row],[Fecha]])</f>
        <v>30</v>
      </c>
      <c r="D38" s="1" t="s">
        <v>18</v>
      </c>
      <c r="E38" s="1">
        <v>600</v>
      </c>
      <c r="F38" s="9">
        <v>12264714</v>
      </c>
      <c r="G38" s="1">
        <v>35</v>
      </c>
      <c r="H38" s="1">
        <v>4</v>
      </c>
      <c r="I38" s="3">
        <f>Tabla158[[#This Row],[Piezas NOK]]/Tabla158[[#This Row],[Piezas OK]]</f>
        <v>0.11428571428571428</v>
      </c>
      <c r="J38" s="1">
        <f t="shared" si="3"/>
        <v>0.88571428571428568</v>
      </c>
      <c r="K38" s="5">
        <f>Tabla158[[#This Row],[FTQ]]</f>
        <v>0.88571428571428568</v>
      </c>
      <c r="M38" s="4">
        <v>46223</v>
      </c>
      <c r="N38" s="1">
        <f>WEEKNUM(Tabla2610[[#This Row],[Fecha]])</f>
        <v>30</v>
      </c>
      <c r="O38" s="1" t="s">
        <v>18</v>
      </c>
      <c r="P38" s="1">
        <v>400</v>
      </c>
      <c r="Q38" s="9">
        <v>12264714</v>
      </c>
      <c r="R38" s="1" t="s">
        <v>35</v>
      </c>
      <c r="S38" s="1">
        <v>2</v>
      </c>
    </row>
    <row r="39" spans="2:19" x14ac:dyDescent="0.3">
      <c r="B39" s="4">
        <v>46223</v>
      </c>
      <c r="C39" s="1">
        <f>WEEKNUM(Tabla158[[#This Row],[Fecha]])</f>
        <v>30</v>
      </c>
      <c r="D39" s="1" t="s">
        <v>18</v>
      </c>
      <c r="E39" s="1">
        <v>700</v>
      </c>
      <c r="F39" s="9">
        <v>12264714</v>
      </c>
      <c r="G39" s="1">
        <v>35</v>
      </c>
      <c r="H39" s="1">
        <v>9</v>
      </c>
      <c r="I39" s="3">
        <f>Tabla158[[#This Row],[Piezas NOK]]/Tabla158[[#This Row],[Piezas OK]]</f>
        <v>0.25714285714285712</v>
      </c>
      <c r="J39" s="1">
        <f t="shared" si="3"/>
        <v>0.74285714285714288</v>
      </c>
      <c r="K39" s="5">
        <f>Tabla158[[#This Row],[FTQ]]</f>
        <v>0.74285714285714288</v>
      </c>
      <c r="M39" s="4">
        <v>46223</v>
      </c>
      <c r="N39" s="1">
        <f>WEEKNUM(Tabla2610[[#This Row],[Fecha]])</f>
        <v>30</v>
      </c>
      <c r="O39" s="1" t="s">
        <v>18</v>
      </c>
      <c r="P39" s="1">
        <v>600</v>
      </c>
      <c r="Q39" s="9">
        <v>12264714</v>
      </c>
      <c r="R39" s="1" t="s">
        <v>38</v>
      </c>
      <c r="S39" s="1">
        <v>1</v>
      </c>
    </row>
    <row r="40" spans="2:19" x14ac:dyDescent="0.3">
      <c r="B40" s="4">
        <v>46223</v>
      </c>
      <c r="C40" s="1">
        <f>WEEKNUM(Tabla158[[#This Row],[Fecha]])</f>
        <v>30</v>
      </c>
      <c r="D40" s="1" t="s">
        <v>18</v>
      </c>
      <c r="E40" s="1">
        <v>800</v>
      </c>
      <c r="F40" s="9">
        <v>12264714</v>
      </c>
      <c r="G40" s="1">
        <v>35</v>
      </c>
      <c r="H40" s="1">
        <v>14</v>
      </c>
      <c r="I40" s="3">
        <f>Tabla158[[#This Row],[Piezas NOK]]/Tabla158[[#This Row],[Piezas OK]]</f>
        <v>0.4</v>
      </c>
      <c r="J40" s="1">
        <f t="shared" si="3"/>
        <v>0.6</v>
      </c>
      <c r="K40" s="5">
        <f>Tabla158[[#This Row],[FTQ]]</f>
        <v>0.6</v>
      </c>
      <c r="M40" s="4">
        <v>46223</v>
      </c>
      <c r="N40" s="1">
        <f>WEEKNUM(Tabla2610[[#This Row],[Fecha]])</f>
        <v>30</v>
      </c>
      <c r="O40" s="1" t="s">
        <v>18</v>
      </c>
      <c r="P40" s="1">
        <v>600</v>
      </c>
      <c r="Q40" s="9">
        <v>12264714</v>
      </c>
      <c r="R40" s="1" t="s">
        <v>39</v>
      </c>
      <c r="S40" s="1">
        <v>3</v>
      </c>
    </row>
    <row r="41" spans="2:19" x14ac:dyDescent="0.3">
      <c r="B41" s="4">
        <v>46223</v>
      </c>
      <c r="C41" s="1">
        <f>WEEKNUM(Tabla158[[#This Row],[Fecha]])</f>
        <v>30</v>
      </c>
      <c r="D41" s="1" t="s">
        <v>18</v>
      </c>
      <c r="E41" s="1">
        <v>900</v>
      </c>
      <c r="F41" s="9">
        <v>12264714</v>
      </c>
      <c r="G41" s="1">
        <v>21</v>
      </c>
      <c r="H41" s="1">
        <v>0</v>
      </c>
      <c r="I41" s="3">
        <f>Tabla158[[#This Row],[Piezas NOK]]/Tabla158[[#This Row],[Piezas OK]]</f>
        <v>0</v>
      </c>
      <c r="J41" s="1">
        <f t="shared" si="3"/>
        <v>1</v>
      </c>
      <c r="K41" s="5">
        <f>Tabla158[[#This Row],[FTQ]]</f>
        <v>1</v>
      </c>
      <c r="M41" s="4">
        <v>46223</v>
      </c>
      <c r="N41" s="1">
        <f>WEEKNUM(Tabla2610[[#This Row],[Fecha]])</f>
        <v>30</v>
      </c>
      <c r="O41" s="1" t="s">
        <v>18</v>
      </c>
      <c r="P41" s="1">
        <v>700</v>
      </c>
      <c r="Q41" s="9">
        <v>12264714</v>
      </c>
      <c r="R41" s="1" t="s">
        <v>40</v>
      </c>
      <c r="S41" s="1">
        <v>7</v>
      </c>
    </row>
    <row r="42" spans="2:19" x14ac:dyDescent="0.3">
      <c r="B42" s="4">
        <v>46223</v>
      </c>
      <c r="C42" s="1">
        <f>WEEKNUM(Tabla158[[#This Row],[Fecha]])</f>
        <v>30</v>
      </c>
      <c r="D42" s="1" t="s">
        <v>18</v>
      </c>
      <c r="E42" s="1" t="s">
        <v>15</v>
      </c>
      <c r="F42" s="9">
        <v>12264714</v>
      </c>
      <c r="G42" s="1">
        <v>21</v>
      </c>
      <c r="H42" s="1">
        <v>0</v>
      </c>
      <c r="I42" s="3">
        <f>Tabla158[[#This Row],[Piezas NOK]]/Tabla158[[#This Row],[Piezas OK]]</f>
        <v>0</v>
      </c>
      <c r="J42" s="1">
        <f t="shared" si="3"/>
        <v>1</v>
      </c>
      <c r="K42" s="5">
        <f>Tabla158[[#This Row],[FTQ]]</f>
        <v>1</v>
      </c>
      <c r="M42" s="4">
        <v>46223</v>
      </c>
      <c r="N42" s="1">
        <f>WEEKNUM(Tabla2610[[#This Row],[Fecha]])</f>
        <v>30</v>
      </c>
      <c r="O42" s="1" t="s">
        <v>18</v>
      </c>
      <c r="P42" s="1">
        <v>700</v>
      </c>
      <c r="Q42" s="9">
        <v>12264714</v>
      </c>
      <c r="R42" s="1" t="s">
        <v>31</v>
      </c>
      <c r="S42" s="1">
        <v>2</v>
      </c>
    </row>
    <row r="43" spans="2:19" x14ac:dyDescent="0.3">
      <c r="B43" s="4">
        <v>46223</v>
      </c>
      <c r="C43" s="1">
        <f>WEEKNUM(Tabla158[[#This Row],[Fecha]])</f>
        <v>30</v>
      </c>
      <c r="D43" s="1" t="s">
        <v>18</v>
      </c>
      <c r="E43" s="1" t="s">
        <v>17</v>
      </c>
      <c r="F43" s="9">
        <v>12264714</v>
      </c>
      <c r="G43" s="1">
        <v>10</v>
      </c>
      <c r="H43" s="1">
        <v>0</v>
      </c>
      <c r="I43" s="3">
        <f>Tabla158[[#This Row],[Piezas NOK]]/Tabla158[[#This Row],[Piezas OK]]</f>
        <v>0</v>
      </c>
      <c r="J43" s="1">
        <f t="shared" si="3"/>
        <v>1</v>
      </c>
      <c r="K43" s="5">
        <f>Tabla158[[#This Row],[FTQ]]</f>
        <v>1</v>
      </c>
      <c r="M43" s="4">
        <v>46223</v>
      </c>
      <c r="N43" s="1">
        <f>WEEKNUM(Tabla2610[[#This Row],[Fecha]])</f>
        <v>30</v>
      </c>
      <c r="O43" s="1" t="s">
        <v>18</v>
      </c>
      <c r="P43" s="1">
        <v>800</v>
      </c>
      <c r="Q43" s="9">
        <v>12264714</v>
      </c>
      <c r="R43" s="1" t="s">
        <v>21</v>
      </c>
      <c r="S43" s="1">
        <v>14</v>
      </c>
    </row>
    <row r="44" spans="2:19" x14ac:dyDescent="0.3">
      <c r="B44" s="4">
        <v>46227</v>
      </c>
      <c r="C44" s="1">
        <f>WEEKNUM(Tabla158[[#This Row],[Fecha]])</f>
        <v>30</v>
      </c>
      <c r="D44" s="1" t="s">
        <v>18</v>
      </c>
      <c r="E44" s="1">
        <v>100</v>
      </c>
      <c r="F44" s="9">
        <v>12260416</v>
      </c>
      <c r="G44" s="1">
        <v>30</v>
      </c>
      <c r="H44" s="1">
        <v>0</v>
      </c>
      <c r="I44" s="3">
        <f>Tabla158[[#This Row],[Piezas NOK]]/Tabla158[[#This Row],[Piezas OK]]</f>
        <v>0</v>
      </c>
      <c r="J44" s="1">
        <f t="shared" si="3"/>
        <v>1</v>
      </c>
      <c r="K44" s="5">
        <f>Tabla158[[#This Row],[FTQ]]</f>
        <v>1</v>
      </c>
      <c r="M44" s="4">
        <v>46227</v>
      </c>
      <c r="N44" s="1">
        <f>WEEKNUM(Tabla2610[[#This Row],[Fecha]])</f>
        <v>30</v>
      </c>
      <c r="O44" s="1" t="s">
        <v>18</v>
      </c>
      <c r="P44" s="1">
        <v>200</v>
      </c>
      <c r="Q44" s="9">
        <v>12260416</v>
      </c>
      <c r="R44" s="1" t="s">
        <v>26</v>
      </c>
      <c r="S44" s="1">
        <v>1</v>
      </c>
    </row>
    <row r="45" spans="2:19" x14ac:dyDescent="0.3">
      <c r="B45" s="4">
        <v>46227</v>
      </c>
      <c r="C45" s="1">
        <f>WEEKNUM(Tabla158[[#This Row],[Fecha]])</f>
        <v>30</v>
      </c>
      <c r="D45" s="1" t="s">
        <v>18</v>
      </c>
      <c r="E45" s="1">
        <v>200</v>
      </c>
      <c r="F45" s="9">
        <v>12260416</v>
      </c>
      <c r="G45" s="1">
        <v>25</v>
      </c>
      <c r="H45" s="1">
        <v>1</v>
      </c>
      <c r="I45" s="3">
        <f>Tabla158[[#This Row],[Piezas NOK]]/Tabla158[[#This Row],[Piezas OK]]</f>
        <v>0.04</v>
      </c>
      <c r="J45" s="1">
        <f t="shared" ref="J45:J52" si="4">ABS(G$3-I45)</f>
        <v>0.96</v>
      </c>
      <c r="K45" s="5">
        <f>Tabla158[[#This Row],[FTQ]]</f>
        <v>0.96</v>
      </c>
      <c r="M45" s="4">
        <v>46227</v>
      </c>
      <c r="N45" s="1">
        <f>WEEKNUM(Tabla2610[[#This Row],[Fecha]])</f>
        <v>30</v>
      </c>
      <c r="O45" s="1" t="s">
        <v>18</v>
      </c>
      <c r="P45" s="1">
        <v>300</v>
      </c>
      <c r="Q45" s="9">
        <v>12260416</v>
      </c>
      <c r="R45" s="1" t="s">
        <v>25</v>
      </c>
      <c r="S45" s="1">
        <v>4</v>
      </c>
    </row>
    <row r="46" spans="2:19" x14ac:dyDescent="0.3">
      <c r="B46" s="4">
        <v>46227</v>
      </c>
      <c r="C46" s="1">
        <f>WEEKNUM(Tabla158[[#This Row],[Fecha]])</f>
        <v>30</v>
      </c>
      <c r="D46" s="1" t="s">
        <v>18</v>
      </c>
      <c r="E46" s="1">
        <v>300</v>
      </c>
      <c r="F46" s="9">
        <v>12260416</v>
      </c>
      <c r="G46" s="1">
        <v>16</v>
      </c>
      <c r="H46" s="1">
        <v>4</v>
      </c>
      <c r="I46" s="3">
        <f>Tabla158[[#This Row],[Piezas NOK]]/Tabla158[[#This Row],[Piezas OK]]</f>
        <v>0.25</v>
      </c>
      <c r="J46" s="1">
        <f t="shared" si="4"/>
        <v>0.75</v>
      </c>
      <c r="K46" s="5">
        <f>Tabla158[[#This Row],[FTQ]]</f>
        <v>0.75</v>
      </c>
      <c r="M46" s="4">
        <v>46227</v>
      </c>
      <c r="N46" s="1">
        <f>WEEKNUM(Tabla2610[[#This Row],[Fecha]])</f>
        <v>30</v>
      </c>
      <c r="O46" s="1" t="s">
        <v>18</v>
      </c>
      <c r="P46" s="1">
        <v>300</v>
      </c>
      <c r="Q46" s="9">
        <v>12260416</v>
      </c>
      <c r="R46" s="1" t="s">
        <v>27</v>
      </c>
      <c r="S46" s="1">
        <v>4</v>
      </c>
    </row>
    <row r="47" spans="2:19" x14ac:dyDescent="0.3">
      <c r="B47" s="4">
        <v>46227</v>
      </c>
      <c r="C47" s="1">
        <f>WEEKNUM(Tabla158[[#This Row],[Fecha]])</f>
        <v>30</v>
      </c>
      <c r="D47" s="1" t="s">
        <v>18</v>
      </c>
      <c r="E47" s="1">
        <v>400</v>
      </c>
      <c r="F47" s="9">
        <v>12260416</v>
      </c>
      <c r="G47" s="1">
        <v>20</v>
      </c>
      <c r="H47" s="1">
        <v>10</v>
      </c>
      <c r="I47" s="3">
        <f>Tabla158[[#This Row],[Piezas NOK]]/Tabla158[[#This Row],[Piezas OK]]</f>
        <v>0.5</v>
      </c>
      <c r="J47" s="1">
        <f t="shared" si="4"/>
        <v>0.5</v>
      </c>
      <c r="K47" s="5">
        <f>Tabla158[[#This Row],[FTQ]]</f>
        <v>0.5</v>
      </c>
      <c r="M47" s="4">
        <v>46227</v>
      </c>
      <c r="N47" s="1">
        <f>WEEKNUM(Tabla2610[[#This Row],[Fecha]])</f>
        <v>30</v>
      </c>
      <c r="O47" s="1" t="s">
        <v>18</v>
      </c>
      <c r="P47" s="1">
        <v>400</v>
      </c>
      <c r="Q47" s="9">
        <v>12260416</v>
      </c>
      <c r="R47" s="1" t="s">
        <v>41</v>
      </c>
      <c r="S47" s="1">
        <v>6</v>
      </c>
    </row>
    <row r="48" spans="2:19" x14ac:dyDescent="0.3">
      <c r="B48" s="4">
        <v>46227</v>
      </c>
      <c r="C48" s="1">
        <f>WEEKNUM(Tabla158[[#This Row],[Fecha]])</f>
        <v>30</v>
      </c>
      <c r="D48" s="1" t="s">
        <v>18</v>
      </c>
      <c r="E48" s="1">
        <v>600</v>
      </c>
      <c r="F48" s="9">
        <v>12260416</v>
      </c>
      <c r="G48" s="1">
        <v>20</v>
      </c>
      <c r="H48" s="1">
        <v>4</v>
      </c>
      <c r="I48" s="3">
        <f>Tabla158[[#This Row],[Piezas NOK]]/Tabla158[[#This Row],[Piezas OK]]</f>
        <v>0.2</v>
      </c>
      <c r="J48" s="1">
        <f t="shared" si="4"/>
        <v>0.8</v>
      </c>
      <c r="K48" s="5">
        <f>Tabla158[[#This Row],[FTQ]]</f>
        <v>0.8</v>
      </c>
      <c r="M48" s="4">
        <v>46227</v>
      </c>
      <c r="N48" s="1">
        <f>WEEKNUM(Tabla2610[[#This Row],[Fecha]])</f>
        <v>30</v>
      </c>
      <c r="O48" s="1" t="s">
        <v>18</v>
      </c>
      <c r="P48" s="1">
        <v>400</v>
      </c>
      <c r="Q48" s="9">
        <v>12260416</v>
      </c>
      <c r="R48" s="1" t="s">
        <v>42</v>
      </c>
      <c r="S48" s="1">
        <v>4</v>
      </c>
    </row>
    <row r="49" spans="2:19" x14ac:dyDescent="0.3">
      <c r="B49" s="4">
        <v>46227</v>
      </c>
      <c r="C49" s="1">
        <f>WEEKNUM(Tabla158[[#This Row],[Fecha]])</f>
        <v>30</v>
      </c>
      <c r="D49" s="1" t="s">
        <v>18</v>
      </c>
      <c r="E49" s="1">
        <v>700</v>
      </c>
      <c r="F49" s="9">
        <v>12260416</v>
      </c>
      <c r="G49" s="1">
        <v>13</v>
      </c>
      <c r="H49" s="1">
        <v>9</v>
      </c>
      <c r="I49" s="3">
        <f>Tabla158[[#This Row],[Piezas NOK]]/Tabla158[[#This Row],[Piezas OK]]</f>
        <v>0.69230769230769229</v>
      </c>
      <c r="J49" s="1">
        <f t="shared" si="4"/>
        <v>0.30769230769230771</v>
      </c>
      <c r="K49" s="5">
        <f>Tabla158[[#This Row],[FTQ]]</f>
        <v>0.30769230769230771</v>
      </c>
      <c r="M49" s="4">
        <v>46227</v>
      </c>
      <c r="N49" s="1">
        <f>WEEKNUM(Tabla2610[[#This Row],[Fecha]])</f>
        <v>30</v>
      </c>
      <c r="O49" s="1" t="s">
        <v>18</v>
      </c>
      <c r="P49" s="1">
        <v>400</v>
      </c>
      <c r="Q49" s="9">
        <v>12260416</v>
      </c>
      <c r="R49" s="1" t="s">
        <v>28</v>
      </c>
      <c r="S49" s="1">
        <v>4</v>
      </c>
    </row>
    <row r="50" spans="2:19" x14ac:dyDescent="0.3">
      <c r="B50" s="4">
        <v>46227</v>
      </c>
      <c r="C50" s="1">
        <f>WEEKNUM(Tabla158[[#This Row],[Fecha]])</f>
        <v>30</v>
      </c>
      <c r="D50" s="1" t="s">
        <v>18</v>
      </c>
      <c r="E50" s="1">
        <v>800</v>
      </c>
      <c r="F50" s="9">
        <v>12260416</v>
      </c>
      <c r="G50" s="1">
        <v>38</v>
      </c>
      <c r="H50" s="1">
        <v>2</v>
      </c>
      <c r="I50" s="3">
        <f>Tabla158[[#This Row],[Piezas NOK]]/Tabla158[[#This Row],[Piezas OK]]</f>
        <v>5.2631578947368418E-2</v>
      </c>
      <c r="J50" s="1">
        <f t="shared" si="4"/>
        <v>0.94736842105263164</v>
      </c>
      <c r="K50" s="5">
        <f>Tabla158[[#This Row],[FTQ]]</f>
        <v>0.94736842105263164</v>
      </c>
      <c r="M50" s="4">
        <v>46227</v>
      </c>
      <c r="N50" s="1">
        <f>WEEKNUM(Tabla2610[[#This Row],[Fecha]])</f>
        <v>30</v>
      </c>
      <c r="O50" s="1" t="s">
        <v>18</v>
      </c>
      <c r="P50" s="1">
        <v>400</v>
      </c>
      <c r="Q50" s="9">
        <v>12260416</v>
      </c>
      <c r="R50" s="1" t="s">
        <v>40</v>
      </c>
      <c r="S50" s="1">
        <v>1</v>
      </c>
    </row>
    <row r="51" spans="2:19" x14ac:dyDescent="0.3">
      <c r="B51" s="4">
        <v>46227</v>
      </c>
      <c r="C51" s="1">
        <f>WEEKNUM(Tabla158[[#This Row],[Fecha]])</f>
        <v>30</v>
      </c>
      <c r="D51" s="1" t="s">
        <v>18</v>
      </c>
      <c r="E51" s="1">
        <v>900</v>
      </c>
      <c r="F51" s="9">
        <v>12260416</v>
      </c>
      <c r="G51" s="1">
        <v>38</v>
      </c>
      <c r="H51" s="1">
        <v>0</v>
      </c>
      <c r="I51" s="3">
        <f>Tabla158[[#This Row],[Piezas NOK]]/Tabla158[[#This Row],[Piezas OK]]</f>
        <v>0</v>
      </c>
      <c r="J51" s="1">
        <f t="shared" si="4"/>
        <v>1</v>
      </c>
      <c r="K51" s="5">
        <f>Tabla158[[#This Row],[FTQ]]</f>
        <v>1</v>
      </c>
      <c r="M51" s="4">
        <v>46227</v>
      </c>
      <c r="N51" s="1">
        <f>WEEKNUM(Tabla2610[[#This Row],[Fecha]])</f>
        <v>30</v>
      </c>
      <c r="O51" s="1" t="s">
        <v>18</v>
      </c>
      <c r="P51" s="1">
        <v>400</v>
      </c>
      <c r="Q51" s="9">
        <v>12260416</v>
      </c>
      <c r="R51" s="1" t="s">
        <v>31</v>
      </c>
      <c r="S51" s="1">
        <v>1</v>
      </c>
    </row>
    <row r="52" spans="2:19" x14ac:dyDescent="0.3">
      <c r="B52" s="4">
        <v>46227</v>
      </c>
      <c r="C52" s="1">
        <f>WEEKNUM(Tabla158[[#This Row],[Fecha]])</f>
        <v>30</v>
      </c>
      <c r="D52" s="1" t="s">
        <v>18</v>
      </c>
      <c r="E52" s="1" t="s">
        <v>15</v>
      </c>
      <c r="F52" s="9">
        <v>12260416</v>
      </c>
      <c r="G52" s="1">
        <v>32</v>
      </c>
      <c r="H52" s="1">
        <v>6</v>
      </c>
      <c r="I52" s="3">
        <f>Tabla158[[#This Row],[Piezas NOK]]/Tabla158[[#This Row],[Piezas OK]]</f>
        <v>0.1875</v>
      </c>
      <c r="J52" s="1">
        <f t="shared" si="4"/>
        <v>0.8125</v>
      </c>
      <c r="K52" s="5">
        <f>Tabla158[[#This Row],[FTQ]]</f>
        <v>0.8125</v>
      </c>
      <c r="M52" s="4">
        <v>46227</v>
      </c>
      <c r="N52" s="1">
        <f>WEEKNUM(Tabla2610[[#This Row],[Fecha]])</f>
        <v>30</v>
      </c>
      <c r="O52" s="1" t="s">
        <v>18</v>
      </c>
      <c r="P52" s="1">
        <v>400</v>
      </c>
      <c r="Q52" s="9">
        <v>12260416</v>
      </c>
      <c r="R52" s="1" t="s">
        <v>43</v>
      </c>
      <c r="S52" s="1">
        <v>7</v>
      </c>
    </row>
    <row r="53" spans="2:19" x14ac:dyDescent="0.3">
      <c r="B53" s="4">
        <v>46227</v>
      </c>
      <c r="C53" s="1">
        <f>WEEKNUM(Tabla158[[#This Row],[Fecha]])</f>
        <v>30</v>
      </c>
      <c r="D53" s="1" t="s">
        <v>18</v>
      </c>
      <c r="E53" s="1" t="s">
        <v>17</v>
      </c>
      <c r="F53" s="9">
        <v>12260416</v>
      </c>
      <c r="G53" s="1">
        <v>20</v>
      </c>
      <c r="H53" s="1">
        <v>0</v>
      </c>
      <c r="I53" s="3">
        <f>Tabla158[[#This Row],[Piezas NOK]]/Tabla158[[#This Row],[Piezas OK]]</f>
        <v>0</v>
      </c>
      <c r="J53" s="1">
        <f>ABS(G$3-I53)</f>
        <v>1</v>
      </c>
      <c r="K53" s="5">
        <f>Tabla158[[#This Row],[FTQ]]</f>
        <v>1</v>
      </c>
      <c r="M53" s="4">
        <v>46227</v>
      </c>
      <c r="N53" s="1">
        <f>WEEKNUM(Tabla2610[[#This Row],[Fecha]])</f>
        <v>30</v>
      </c>
      <c r="O53" s="1" t="s">
        <v>18</v>
      </c>
      <c r="P53" s="1">
        <v>800</v>
      </c>
      <c r="Q53" s="9">
        <v>12260416</v>
      </c>
      <c r="R53" s="1" t="s">
        <v>21</v>
      </c>
      <c r="S53" s="1">
        <v>2</v>
      </c>
    </row>
    <row r="54" spans="2:19" x14ac:dyDescent="0.3">
      <c r="B54" s="4">
        <v>46227</v>
      </c>
      <c r="C54" s="1">
        <f>WEEKNUM(Tabla158[[#This Row],[Fecha]])</f>
        <v>30</v>
      </c>
      <c r="D54" s="1" t="s">
        <v>18</v>
      </c>
      <c r="E54" s="1">
        <v>100</v>
      </c>
      <c r="F54" s="9">
        <v>12260415</v>
      </c>
      <c r="G54" s="1">
        <v>20</v>
      </c>
      <c r="H54" s="1">
        <v>0</v>
      </c>
      <c r="I54" s="3">
        <f>Tabla158[[#This Row],[Piezas NOK]]/Tabla158[[#This Row],[Piezas OK]]</f>
        <v>0</v>
      </c>
      <c r="J54" s="1">
        <f t="shared" ref="J54:J61" si="5">ABS(G$3-I54)</f>
        <v>1</v>
      </c>
      <c r="K54" s="5">
        <f>Tabla158[[#This Row],[FTQ]]</f>
        <v>1</v>
      </c>
      <c r="M54" s="4">
        <v>46227</v>
      </c>
      <c r="N54" s="1">
        <f>WEEKNUM(Tabla2610[[#This Row],[Fecha]])</f>
        <v>30</v>
      </c>
      <c r="O54" s="1" t="s">
        <v>18</v>
      </c>
      <c r="P54" s="1" t="s">
        <v>15</v>
      </c>
      <c r="Q54" s="9">
        <v>12260416</v>
      </c>
      <c r="R54" s="1" t="s">
        <v>45</v>
      </c>
      <c r="S54" s="1">
        <v>1</v>
      </c>
    </row>
    <row r="55" spans="2:19" x14ac:dyDescent="0.3">
      <c r="B55" s="4">
        <v>46227</v>
      </c>
      <c r="C55" s="1">
        <f>WEEKNUM(Tabla158[[#This Row],[Fecha]])</f>
        <v>30</v>
      </c>
      <c r="D55" s="1" t="s">
        <v>18</v>
      </c>
      <c r="E55" s="1">
        <v>200</v>
      </c>
      <c r="F55" s="9">
        <v>12260415</v>
      </c>
      <c r="G55" s="1">
        <v>20</v>
      </c>
      <c r="H55" s="1">
        <v>0</v>
      </c>
      <c r="I55" s="3">
        <f>Tabla158[[#This Row],[Piezas NOK]]/Tabla158[[#This Row],[Piezas OK]]</f>
        <v>0</v>
      </c>
      <c r="J55" s="1">
        <f t="shared" si="5"/>
        <v>1</v>
      </c>
      <c r="K55" s="5">
        <f>Tabla158[[#This Row],[FTQ]]</f>
        <v>1</v>
      </c>
      <c r="M55" s="4">
        <v>46227</v>
      </c>
      <c r="N55" s="1">
        <f>WEEKNUM(Tabla2610[[#This Row],[Fecha]])</f>
        <v>30</v>
      </c>
      <c r="O55" s="1" t="s">
        <v>18</v>
      </c>
      <c r="P55" s="1" t="s">
        <v>15</v>
      </c>
      <c r="Q55" s="9">
        <v>12260416</v>
      </c>
      <c r="R55" s="1" t="s">
        <v>46</v>
      </c>
      <c r="S55" s="1">
        <v>1</v>
      </c>
    </row>
    <row r="56" spans="2:19" x14ac:dyDescent="0.3">
      <c r="B56" s="4">
        <v>46227</v>
      </c>
      <c r="C56" s="1">
        <f>WEEKNUM(Tabla158[[#This Row],[Fecha]])</f>
        <v>30</v>
      </c>
      <c r="D56" s="1" t="s">
        <v>18</v>
      </c>
      <c r="E56" s="1">
        <v>300</v>
      </c>
      <c r="F56" s="9">
        <v>12260415</v>
      </c>
      <c r="G56" s="1">
        <v>20</v>
      </c>
      <c r="H56" s="1">
        <v>0</v>
      </c>
      <c r="I56" s="3">
        <f>Tabla158[[#This Row],[Piezas NOK]]/Tabla158[[#This Row],[Piezas OK]]</f>
        <v>0</v>
      </c>
      <c r="J56" s="1">
        <f t="shared" si="5"/>
        <v>1</v>
      </c>
      <c r="K56" s="5">
        <f>Tabla158[[#This Row],[FTQ]]</f>
        <v>1</v>
      </c>
      <c r="M56" s="4">
        <v>46227</v>
      </c>
      <c r="N56" s="1">
        <f>WEEKNUM(Tabla2610[[#This Row],[Fecha]])</f>
        <v>30</v>
      </c>
      <c r="O56" s="1" t="s">
        <v>18</v>
      </c>
      <c r="P56" s="1" t="s">
        <v>15</v>
      </c>
      <c r="Q56" s="9">
        <v>12260416</v>
      </c>
      <c r="R56" s="1" t="s">
        <v>47</v>
      </c>
      <c r="S56" s="1">
        <v>1</v>
      </c>
    </row>
    <row r="57" spans="2:19" x14ac:dyDescent="0.3">
      <c r="B57" s="4">
        <v>46227</v>
      </c>
      <c r="C57" s="1">
        <f>WEEKNUM(Tabla158[[#This Row],[Fecha]])</f>
        <v>30</v>
      </c>
      <c r="D57" s="1" t="s">
        <v>18</v>
      </c>
      <c r="E57" s="1">
        <v>400</v>
      </c>
      <c r="F57" s="9">
        <v>12260415</v>
      </c>
      <c r="G57" s="1">
        <v>19</v>
      </c>
      <c r="H57" s="1">
        <v>0</v>
      </c>
      <c r="I57" s="3">
        <f>Tabla158[[#This Row],[Piezas NOK]]/Tabla158[[#This Row],[Piezas OK]]</f>
        <v>0</v>
      </c>
      <c r="J57" s="1">
        <f t="shared" si="5"/>
        <v>1</v>
      </c>
      <c r="K57" s="5">
        <f>Tabla158[[#This Row],[FTQ]]</f>
        <v>1</v>
      </c>
      <c r="M57" s="4">
        <v>46227</v>
      </c>
      <c r="N57" s="1">
        <f>WEEKNUM(Tabla2610[[#This Row],[Fecha]])</f>
        <v>30</v>
      </c>
      <c r="O57" s="1" t="s">
        <v>18</v>
      </c>
      <c r="P57" s="1" t="s">
        <v>15</v>
      </c>
      <c r="Q57" s="9">
        <v>12260416</v>
      </c>
      <c r="R57" s="1" t="s">
        <v>48</v>
      </c>
      <c r="S57" s="1">
        <v>3</v>
      </c>
    </row>
    <row r="58" spans="2:19" x14ac:dyDescent="0.3">
      <c r="B58" s="4">
        <v>46227</v>
      </c>
      <c r="C58" s="1">
        <f>WEEKNUM(Tabla158[[#This Row],[Fecha]])</f>
        <v>30</v>
      </c>
      <c r="D58" s="1" t="s">
        <v>18</v>
      </c>
      <c r="E58" s="1">
        <v>600</v>
      </c>
      <c r="F58" s="9">
        <v>12260415</v>
      </c>
      <c r="G58" s="1">
        <v>19</v>
      </c>
      <c r="H58" s="1">
        <v>3</v>
      </c>
      <c r="I58" s="3">
        <f>Tabla158[[#This Row],[Piezas NOK]]/Tabla158[[#This Row],[Piezas OK]]</f>
        <v>0.15789473684210525</v>
      </c>
      <c r="J58" s="1">
        <f t="shared" si="5"/>
        <v>0.84210526315789469</v>
      </c>
      <c r="K58" s="5">
        <f>Tabla158[[#This Row],[FTQ]]</f>
        <v>0.84210526315789469</v>
      </c>
      <c r="M58" s="4">
        <v>46220</v>
      </c>
      <c r="N58" s="1">
        <f>WEEKNUM(Tabla2610[[#This Row],[Fecha]])</f>
        <v>29</v>
      </c>
      <c r="O58" s="1" t="s">
        <v>18</v>
      </c>
      <c r="P58" s="1" t="s">
        <v>17</v>
      </c>
      <c r="Q58" s="9">
        <v>12264714</v>
      </c>
      <c r="R58" s="1" t="s">
        <v>49</v>
      </c>
      <c r="S58" s="1">
        <v>1</v>
      </c>
    </row>
    <row r="59" spans="2:19" x14ac:dyDescent="0.3">
      <c r="B59" s="4">
        <v>46227</v>
      </c>
      <c r="C59" s="1">
        <f>WEEKNUM(Tabla158[[#This Row],[Fecha]])</f>
        <v>30</v>
      </c>
      <c r="D59" s="1" t="s">
        <v>18</v>
      </c>
      <c r="E59" s="1">
        <v>700</v>
      </c>
      <c r="F59" s="9">
        <v>12260415</v>
      </c>
      <c r="G59" s="1">
        <v>18</v>
      </c>
      <c r="H59" s="1">
        <v>1</v>
      </c>
      <c r="I59" s="3">
        <f>Tabla158[[#This Row],[Piezas NOK]]/Tabla158[[#This Row],[Piezas OK]]</f>
        <v>5.5555555555555552E-2</v>
      </c>
      <c r="J59" s="1">
        <f t="shared" si="5"/>
        <v>0.94444444444444442</v>
      </c>
      <c r="K59" s="5">
        <f>Tabla158[[#This Row],[FTQ]]</f>
        <v>0.94444444444444442</v>
      </c>
      <c r="M59" s="4">
        <v>46227</v>
      </c>
      <c r="N59" s="1">
        <f>WEEKNUM(Tabla2610[[#This Row],[Fecha]])</f>
        <v>30</v>
      </c>
      <c r="O59" s="1" t="s">
        <v>18</v>
      </c>
      <c r="P59" s="1">
        <v>600</v>
      </c>
      <c r="Q59" s="9">
        <v>12260415</v>
      </c>
      <c r="R59" s="1" t="s">
        <v>28</v>
      </c>
      <c r="S59" s="1">
        <v>3</v>
      </c>
    </row>
    <row r="60" spans="2:19" x14ac:dyDescent="0.3">
      <c r="B60" s="4">
        <v>46227</v>
      </c>
      <c r="C60" s="1">
        <f>WEEKNUM(Tabla158[[#This Row],[Fecha]])</f>
        <v>30</v>
      </c>
      <c r="D60" s="1" t="s">
        <v>18</v>
      </c>
      <c r="E60" s="1">
        <v>800</v>
      </c>
      <c r="F60" s="9">
        <v>12260415</v>
      </c>
      <c r="G60" s="1">
        <v>18</v>
      </c>
      <c r="H60" s="1">
        <v>4</v>
      </c>
      <c r="I60" s="3">
        <f>Tabla158[[#This Row],[Piezas NOK]]/Tabla158[[#This Row],[Piezas OK]]</f>
        <v>0.22222222222222221</v>
      </c>
      <c r="J60" s="1">
        <f t="shared" si="5"/>
        <v>0.77777777777777779</v>
      </c>
      <c r="K60" s="5">
        <f>Tabla158[[#This Row],[FTQ]]</f>
        <v>0.77777777777777779</v>
      </c>
      <c r="M60" s="4">
        <v>46227</v>
      </c>
      <c r="N60" s="1">
        <f>WEEKNUM(Tabla2610[[#This Row],[Fecha]])</f>
        <v>30</v>
      </c>
      <c r="O60" s="1" t="s">
        <v>18</v>
      </c>
      <c r="P60" s="1">
        <v>700</v>
      </c>
      <c r="Q60" s="9">
        <v>12260415</v>
      </c>
      <c r="R60" s="1" t="s">
        <v>50</v>
      </c>
      <c r="S60" s="1">
        <v>1</v>
      </c>
    </row>
    <row r="61" spans="2:19" x14ac:dyDescent="0.3">
      <c r="B61" s="4">
        <v>46227</v>
      </c>
      <c r="C61" s="1">
        <f>WEEKNUM(Tabla158[[#This Row],[Fecha]])</f>
        <v>30</v>
      </c>
      <c r="D61" s="1" t="s">
        <v>18</v>
      </c>
      <c r="E61" s="1">
        <v>900</v>
      </c>
      <c r="F61" s="9">
        <v>12260415</v>
      </c>
      <c r="G61" s="1">
        <v>18</v>
      </c>
      <c r="H61" s="1">
        <v>0</v>
      </c>
      <c r="I61" s="3">
        <f>Tabla158[[#This Row],[Piezas NOK]]/Tabla158[[#This Row],[Piezas OK]]</f>
        <v>0</v>
      </c>
      <c r="J61" s="1">
        <f t="shared" si="5"/>
        <v>1</v>
      </c>
      <c r="K61" s="5">
        <f>Tabla158[[#This Row],[FTQ]]</f>
        <v>1</v>
      </c>
      <c r="M61" s="4">
        <v>46227</v>
      </c>
      <c r="N61" s="1">
        <f>WEEKNUM(Tabla2610[[#This Row],[Fecha]])</f>
        <v>30</v>
      </c>
      <c r="O61" s="1" t="s">
        <v>18</v>
      </c>
      <c r="P61" s="1">
        <v>800</v>
      </c>
      <c r="Q61" s="9">
        <v>12260416</v>
      </c>
      <c r="R61" s="1" t="s">
        <v>21</v>
      </c>
      <c r="S61" s="1">
        <v>4</v>
      </c>
    </row>
    <row r="62" spans="2:19" x14ac:dyDescent="0.3">
      <c r="B62" s="4">
        <v>46227</v>
      </c>
      <c r="C62" s="1">
        <f>WEEKNUM(Tabla158[[#This Row],[Fecha]])</f>
        <v>30</v>
      </c>
      <c r="D62" s="1" t="s">
        <v>18</v>
      </c>
      <c r="E62" s="1" t="s">
        <v>15</v>
      </c>
      <c r="F62" s="9">
        <v>12260415</v>
      </c>
      <c r="G62" s="1">
        <v>40</v>
      </c>
      <c r="H62" s="1">
        <v>0</v>
      </c>
      <c r="I62" s="3">
        <f>Tabla158[[#This Row],[Piezas NOK]]/Tabla158[[#This Row],[Piezas OK]]</f>
        <v>0</v>
      </c>
      <c r="J62" s="1">
        <f t="shared" ref="J62" si="6">ABS(G$3-I62)</f>
        <v>1</v>
      </c>
      <c r="K62" s="5">
        <f>Tabla158[[#This Row],[FTQ]]</f>
        <v>1</v>
      </c>
      <c r="M62" s="4">
        <v>46265</v>
      </c>
      <c r="N62" s="12">
        <f>WEEKNUM(Tabla2610[[#This Row],[Fecha]])</f>
        <v>36</v>
      </c>
      <c r="O62" s="1" t="s">
        <v>18</v>
      </c>
      <c r="P62" s="1">
        <v>100</v>
      </c>
      <c r="Q62" s="9">
        <v>12260415</v>
      </c>
      <c r="R62" s="1" t="s">
        <v>19</v>
      </c>
      <c r="S62" s="1">
        <v>1</v>
      </c>
    </row>
    <row r="63" spans="2:19" x14ac:dyDescent="0.3">
      <c r="B63" s="4">
        <v>46265</v>
      </c>
      <c r="C63" s="12">
        <f>WEEKNUM(Tabla158[[#This Row],[Fecha]])</f>
        <v>36</v>
      </c>
      <c r="D63" s="1" t="s">
        <v>18</v>
      </c>
      <c r="E63" s="1">
        <v>100</v>
      </c>
      <c r="F63" s="9">
        <v>12260415</v>
      </c>
      <c r="G63" s="1">
        <v>100</v>
      </c>
      <c r="H63" s="1">
        <v>1</v>
      </c>
      <c r="I63" s="3">
        <f>Tabla158[[#This Row],[Piezas NOK]]/Tabla158[[#This Row],[Piezas OK]]</f>
        <v>0.01</v>
      </c>
      <c r="J63" s="12">
        <f t="shared" ref="J63:J71" si="7">ABS(G$3-I63)</f>
        <v>0.99</v>
      </c>
      <c r="K63" s="5">
        <f>Tabla158[[#This Row],[FTQ]]</f>
        <v>0.99</v>
      </c>
      <c r="M63" s="4">
        <v>46265</v>
      </c>
      <c r="N63" s="12">
        <f>WEEKNUM(Tabla2610[[#This Row],[Fecha]])</f>
        <v>36</v>
      </c>
      <c r="O63" s="1" t="s">
        <v>18</v>
      </c>
      <c r="P63" s="1">
        <v>100</v>
      </c>
      <c r="Q63" s="9">
        <v>12260416</v>
      </c>
      <c r="R63" s="1" t="s">
        <v>52</v>
      </c>
      <c r="S63" s="1">
        <v>1</v>
      </c>
    </row>
    <row r="64" spans="2:19" x14ac:dyDescent="0.3">
      <c r="B64" s="4">
        <v>46265</v>
      </c>
      <c r="C64" s="12">
        <f>WEEKNUM(Tabla158[[#This Row],[Fecha]])</f>
        <v>36</v>
      </c>
      <c r="D64" s="1" t="s">
        <v>18</v>
      </c>
      <c r="E64" s="1">
        <v>200</v>
      </c>
      <c r="F64" s="9">
        <v>12260415</v>
      </c>
      <c r="G64" s="1">
        <v>80</v>
      </c>
      <c r="H64" s="1">
        <v>1</v>
      </c>
      <c r="I64" s="3">
        <f>Tabla158[[#This Row],[Piezas NOK]]/Tabla158[[#This Row],[Piezas OK]]</f>
        <v>1.2500000000000001E-2</v>
      </c>
      <c r="J64" s="12">
        <f t="shared" si="7"/>
        <v>0.98750000000000004</v>
      </c>
      <c r="K64" s="5">
        <f>Tabla158[[#This Row],[FTQ]]</f>
        <v>0.98750000000000004</v>
      </c>
      <c r="M64" s="4">
        <v>46265</v>
      </c>
      <c r="N64" s="12">
        <f>WEEKNUM(Tabla2610[[#This Row],[Fecha]])</f>
        <v>36</v>
      </c>
      <c r="O64" s="1" t="s">
        <v>18</v>
      </c>
      <c r="P64" s="1">
        <v>200</v>
      </c>
      <c r="Q64" s="9">
        <v>12260415</v>
      </c>
      <c r="R64" s="1" t="s">
        <v>53</v>
      </c>
      <c r="S64" s="1">
        <v>1</v>
      </c>
    </row>
    <row r="65" spans="2:19" x14ac:dyDescent="0.3">
      <c r="B65" s="4">
        <v>46265</v>
      </c>
      <c r="C65" s="12">
        <f>WEEKNUM(Tabla158[[#This Row],[Fecha]])</f>
        <v>36</v>
      </c>
      <c r="D65" s="1" t="s">
        <v>18</v>
      </c>
      <c r="E65" s="1">
        <v>300</v>
      </c>
      <c r="F65" s="9">
        <v>12260415</v>
      </c>
      <c r="G65" s="1">
        <v>81</v>
      </c>
      <c r="H65" s="1">
        <v>3</v>
      </c>
      <c r="I65" s="3">
        <f>Tabla158[[#This Row],[Piezas NOK]]/Tabla158[[#This Row],[Piezas OK]]</f>
        <v>3.7037037037037035E-2</v>
      </c>
      <c r="J65" s="12">
        <f t="shared" si="7"/>
        <v>0.96296296296296302</v>
      </c>
      <c r="K65" s="5">
        <f>Tabla158[[#This Row],[FTQ]]</f>
        <v>0.96296296296296302</v>
      </c>
      <c r="M65" s="4">
        <v>46265</v>
      </c>
      <c r="N65" s="12">
        <f>WEEKNUM(Tabla2610[[#This Row],[Fecha]])</f>
        <v>36</v>
      </c>
      <c r="O65" s="1" t="s">
        <v>18</v>
      </c>
      <c r="P65" s="1">
        <v>200</v>
      </c>
      <c r="Q65" s="9">
        <v>12260416</v>
      </c>
      <c r="R65" s="1" t="s">
        <v>58</v>
      </c>
      <c r="S65" s="1">
        <v>4</v>
      </c>
    </row>
    <row r="66" spans="2:19" x14ac:dyDescent="0.3">
      <c r="B66" s="4">
        <v>46265</v>
      </c>
      <c r="C66" s="12">
        <f>WEEKNUM(Tabla158[[#This Row],[Fecha]])</f>
        <v>36</v>
      </c>
      <c r="D66" s="1" t="s">
        <v>18</v>
      </c>
      <c r="E66" s="1">
        <v>400</v>
      </c>
      <c r="F66" s="9">
        <v>12260415</v>
      </c>
      <c r="G66" s="1">
        <v>80</v>
      </c>
      <c r="H66" s="1">
        <v>7</v>
      </c>
      <c r="I66" s="3">
        <f>Tabla158[[#This Row],[Piezas NOK]]/Tabla158[[#This Row],[Piezas OK]]</f>
        <v>8.7499999999999994E-2</v>
      </c>
      <c r="J66" s="12">
        <f t="shared" si="7"/>
        <v>0.91249999999999998</v>
      </c>
      <c r="K66" s="5">
        <f>Tabla158[[#This Row],[FTQ]]</f>
        <v>0.91249999999999998</v>
      </c>
      <c r="M66" s="4">
        <v>46265</v>
      </c>
      <c r="N66" s="12">
        <f>WEEKNUM(Tabla2610[[#This Row],[Fecha]])</f>
        <v>36</v>
      </c>
      <c r="O66" s="1" t="s">
        <v>18</v>
      </c>
      <c r="P66" s="1">
        <v>300</v>
      </c>
      <c r="Q66" s="9">
        <v>12260415</v>
      </c>
      <c r="R66" s="1" t="s">
        <v>54</v>
      </c>
      <c r="S66" s="1">
        <v>3</v>
      </c>
    </row>
    <row r="67" spans="2:19" x14ac:dyDescent="0.3">
      <c r="B67" s="4">
        <v>46265</v>
      </c>
      <c r="C67" s="12">
        <f>WEEKNUM(Tabla158[[#This Row],[Fecha]])</f>
        <v>36</v>
      </c>
      <c r="D67" s="1" t="s">
        <v>18</v>
      </c>
      <c r="E67" s="1">
        <v>600</v>
      </c>
      <c r="F67" s="9">
        <v>12260415</v>
      </c>
      <c r="G67" s="1">
        <v>75</v>
      </c>
      <c r="H67" s="1">
        <v>3</v>
      </c>
      <c r="I67" s="3">
        <f>Tabla158[[#This Row],[Piezas NOK]]/Tabla158[[#This Row],[Piezas OK]]</f>
        <v>0.04</v>
      </c>
      <c r="J67" s="12">
        <f t="shared" si="7"/>
        <v>0.96</v>
      </c>
      <c r="K67" s="5">
        <f>Tabla158[[#This Row],[FTQ]]</f>
        <v>0.96</v>
      </c>
      <c r="M67" s="4">
        <v>46265</v>
      </c>
      <c r="N67" s="12">
        <f>WEEKNUM(Tabla2610[[#This Row],[Fecha]])</f>
        <v>36</v>
      </c>
      <c r="O67" s="1" t="s">
        <v>18</v>
      </c>
      <c r="P67" s="1">
        <v>300</v>
      </c>
      <c r="Q67" s="9">
        <v>12260416</v>
      </c>
      <c r="R67" s="1" t="s">
        <v>55</v>
      </c>
      <c r="S67" s="1">
        <v>1</v>
      </c>
    </row>
    <row r="68" spans="2:19" x14ac:dyDescent="0.3">
      <c r="B68" s="4">
        <v>46265</v>
      </c>
      <c r="C68" s="12">
        <f>WEEKNUM(Tabla158[[#This Row],[Fecha]])</f>
        <v>36</v>
      </c>
      <c r="D68" s="1" t="s">
        <v>18</v>
      </c>
      <c r="E68" s="1">
        <v>700</v>
      </c>
      <c r="F68" s="9">
        <v>12260415</v>
      </c>
      <c r="G68" s="1">
        <v>75</v>
      </c>
      <c r="H68" s="1">
        <v>2</v>
      </c>
      <c r="I68" s="3">
        <f>Tabla158[[#This Row],[Piezas NOK]]/Tabla158[[#This Row],[Piezas OK]]</f>
        <v>2.6666666666666668E-2</v>
      </c>
      <c r="J68" s="12">
        <f t="shared" si="7"/>
        <v>0.97333333333333338</v>
      </c>
      <c r="K68" s="5">
        <f>Tabla158[[#This Row],[FTQ]]</f>
        <v>0.97333333333333338</v>
      </c>
      <c r="M68" s="4">
        <v>46265</v>
      </c>
      <c r="N68" s="12">
        <f>WEEKNUM(Tabla2610[[#This Row],[Fecha]])</f>
        <v>36</v>
      </c>
      <c r="O68" s="1" t="s">
        <v>18</v>
      </c>
      <c r="P68" s="1">
        <v>400</v>
      </c>
      <c r="Q68" s="9">
        <v>12260415</v>
      </c>
      <c r="R68" s="1" t="s">
        <v>41</v>
      </c>
      <c r="S68" s="1">
        <v>7</v>
      </c>
    </row>
    <row r="69" spans="2:19" x14ac:dyDescent="0.3">
      <c r="B69" s="4">
        <v>46265</v>
      </c>
      <c r="C69" s="12">
        <f>WEEKNUM(Tabla158[[#This Row],[Fecha]])</f>
        <v>36</v>
      </c>
      <c r="D69" s="1" t="s">
        <v>18</v>
      </c>
      <c r="E69" s="1">
        <v>800</v>
      </c>
      <c r="F69" s="9">
        <v>12260415</v>
      </c>
      <c r="G69" s="1">
        <v>37</v>
      </c>
      <c r="H69" s="1">
        <v>17</v>
      </c>
      <c r="I69" s="3">
        <f>Tabla158[[#This Row],[Piezas NOK]]/Tabla158[[#This Row],[Piezas OK]]</f>
        <v>0.45945945945945948</v>
      </c>
      <c r="J69" s="12">
        <f t="shared" si="7"/>
        <v>0.54054054054054057</v>
      </c>
      <c r="K69" s="5">
        <f>Tabla158[[#This Row],[FTQ]]</f>
        <v>0.54054054054054057</v>
      </c>
      <c r="M69" s="4">
        <v>46265</v>
      </c>
      <c r="N69" s="12">
        <f>WEEKNUM(Tabla2610[[#This Row],[Fecha]])</f>
        <v>36</v>
      </c>
      <c r="O69" s="1" t="s">
        <v>18</v>
      </c>
      <c r="P69" s="1">
        <v>400</v>
      </c>
      <c r="Q69" s="9">
        <v>12260416</v>
      </c>
      <c r="R69" s="1" t="s">
        <v>34</v>
      </c>
      <c r="S69" s="1">
        <v>4</v>
      </c>
    </row>
    <row r="70" spans="2:19" x14ac:dyDescent="0.3">
      <c r="B70" s="4">
        <v>46265</v>
      </c>
      <c r="C70" s="12">
        <f>WEEKNUM(Tabla158[[#This Row],[Fecha]])</f>
        <v>36</v>
      </c>
      <c r="D70" s="1" t="s">
        <v>18</v>
      </c>
      <c r="E70" s="1">
        <v>900</v>
      </c>
      <c r="F70" s="9">
        <v>12260415</v>
      </c>
      <c r="G70" s="1">
        <v>57</v>
      </c>
      <c r="H70" s="1">
        <v>5</v>
      </c>
      <c r="I70" s="3">
        <f>Tabla158[[#This Row],[Piezas NOK]]/Tabla158[[#This Row],[Piezas OK]]</f>
        <v>8.771929824561403E-2</v>
      </c>
      <c r="J70" s="12">
        <f t="shared" si="7"/>
        <v>0.91228070175438591</v>
      </c>
      <c r="K70" s="5">
        <f>Tabla158[[#This Row],[FTQ]]</f>
        <v>0.91228070175438591</v>
      </c>
      <c r="M70" s="4">
        <v>46265</v>
      </c>
      <c r="N70" s="12">
        <f>WEEKNUM(Tabla2610[[#This Row],[Fecha]])</f>
        <v>36</v>
      </c>
      <c r="O70" s="1" t="s">
        <v>18</v>
      </c>
      <c r="P70" s="1">
        <v>400</v>
      </c>
      <c r="Q70" s="9">
        <v>12260416</v>
      </c>
      <c r="R70" s="1" t="s">
        <v>56</v>
      </c>
      <c r="S70" s="1">
        <v>1</v>
      </c>
    </row>
    <row r="71" spans="2:19" x14ac:dyDescent="0.3">
      <c r="B71" s="4">
        <v>46265</v>
      </c>
      <c r="C71" s="12">
        <f>WEEKNUM(Tabla158[[#This Row],[Fecha]])</f>
        <v>36</v>
      </c>
      <c r="D71" s="1" t="s">
        <v>18</v>
      </c>
      <c r="E71" s="1" t="s">
        <v>15</v>
      </c>
      <c r="F71" s="9">
        <v>12260415</v>
      </c>
      <c r="G71" s="1">
        <v>57</v>
      </c>
      <c r="H71" s="1">
        <v>3</v>
      </c>
      <c r="I71" s="3">
        <f>Tabla158[[#This Row],[Piezas NOK]]/Tabla158[[#This Row],[Piezas OK]]</f>
        <v>5.2631578947368418E-2</v>
      </c>
      <c r="J71" s="12">
        <f t="shared" si="7"/>
        <v>0.94736842105263164</v>
      </c>
      <c r="K71" s="5">
        <f>Tabla158[[#This Row],[FTQ]]</f>
        <v>0.94736842105263164</v>
      </c>
      <c r="M71" s="4">
        <v>46265</v>
      </c>
      <c r="N71" s="12">
        <f>WEEKNUM(Tabla2610[[#This Row],[Fecha]])</f>
        <v>36</v>
      </c>
      <c r="O71" s="1" t="s">
        <v>18</v>
      </c>
      <c r="P71" s="1">
        <v>600</v>
      </c>
      <c r="Q71" s="9">
        <v>12260415</v>
      </c>
      <c r="R71" s="1" t="s">
        <v>57</v>
      </c>
      <c r="S71" s="1">
        <v>3</v>
      </c>
    </row>
    <row r="72" spans="2:19" x14ac:dyDescent="0.3">
      <c r="B72" s="4">
        <v>46265</v>
      </c>
      <c r="C72" s="12">
        <f>WEEKNUM(Tabla158[[#This Row],[Fecha]])</f>
        <v>36</v>
      </c>
      <c r="D72" s="1" t="s">
        <v>18</v>
      </c>
      <c r="E72" s="1" t="s">
        <v>51</v>
      </c>
      <c r="F72" s="9">
        <v>12260415</v>
      </c>
      <c r="G72" s="1">
        <v>57</v>
      </c>
      <c r="H72" s="1">
        <v>0</v>
      </c>
      <c r="I72" s="3">
        <f>Tabla158[[#This Row],[Piezas NOK]]/Tabla158[[#This Row],[Piezas OK]]</f>
        <v>0</v>
      </c>
      <c r="J72" s="12">
        <f t="shared" ref="J72:J75" si="8">ABS(G$3-I72)</f>
        <v>1</v>
      </c>
      <c r="K72" s="5">
        <f>Tabla158[[#This Row],[FTQ]]</f>
        <v>1</v>
      </c>
      <c r="M72" s="4">
        <v>46265</v>
      </c>
      <c r="N72" s="12">
        <f>WEEKNUM(Tabla2610[[#This Row],[Fecha]])</f>
        <v>36</v>
      </c>
      <c r="O72" s="1" t="s">
        <v>18</v>
      </c>
      <c r="P72" s="1">
        <v>600</v>
      </c>
      <c r="Q72" s="9">
        <v>12260416</v>
      </c>
      <c r="R72" s="1" t="s">
        <v>57</v>
      </c>
      <c r="S72" s="1">
        <v>1</v>
      </c>
    </row>
    <row r="73" spans="2:19" x14ac:dyDescent="0.3">
      <c r="B73" s="4">
        <v>46265</v>
      </c>
      <c r="C73" s="12">
        <f>WEEKNUM(Tabla158[[#This Row],[Fecha]])</f>
        <v>36</v>
      </c>
      <c r="D73" s="1" t="s">
        <v>18</v>
      </c>
      <c r="E73" s="1">
        <v>100</v>
      </c>
      <c r="F73" s="9">
        <v>12260416</v>
      </c>
      <c r="G73" s="1">
        <v>139</v>
      </c>
      <c r="H73" s="1">
        <v>1</v>
      </c>
      <c r="I73" s="3">
        <f>Tabla158[[#This Row],[Piezas NOK]]/Tabla158[[#This Row],[Piezas OK]]</f>
        <v>7.1942446043165471E-3</v>
      </c>
      <c r="J73" s="12">
        <f t="shared" si="8"/>
        <v>0.9928057553956835</v>
      </c>
      <c r="K73" s="5">
        <f>Tabla158[[#This Row],[FTQ]]</f>
        <v>0.9928057553956835</v>
      </c>
      <c r="M73" s="4">
        <v>46265</v>
      </c>
      <c r="N73" s="12">
        <f>WEEKNUM(Tabla2610[[#This Row],[Fecha]])</f>
        <v>36</v>
      </c>
      <c r="O73" s="1" t="s">
        <v>18</v>
      </c>
      <c r="P73" s="1">
        <v>700</v>
      </c>
      <c r="Q73" s="9">
        <v>12260415</v>
      </c>
      <c r="R73" s="1" t="s">
        <v>40</v>
      </c>
      <c r="S73" s="1">
        <v>1</v>
      </c>
    </row>
    <row r="74" spans="2:19" x14ac:dyDescent="0.3">
      <c r="B74" s="4">
        <v>46265</v>
      </c>
      <c r="C74" s="12">
        <f>WEEKNUM(Tabla158[[#This Row],[Fecha]])</f>
        <v>36</v>
      </c>
      <c r="D74" s="1" t="s">
        <v>18</v>
      </c>
      <c r="E74" s="1">
        <v>200</v>
      </c>
      <c r="F74" s="9">
        <v>12260416</v>
      </c>
      <c r="G74" s="1">
        <v>137</v>
      </c>
      <c r="H74" s="1">
        <v>4</v>
      </c>
      <c r="I74" s="3">
        <f>Tabla158[[#This Row],[Piezas NOK]]/Tabla158[[#This Row],[Piezas OK]]</f>
        <v>2.9197080291970802E-2</v>
      </c>
      <c r="J74" s="12">
        <f t="shared" si="8"/>
        <v>0.97080291970802923</v>
      </c>
      <c r="K74" s="5">
        <f>Tabla158[[#This Row],[FTQ]]</f>
        <v>0.97080291970802923</v>
      </c>
      <c r="M74" s="4">
        <v>46265</v>
      </c>
      <c r="N74" s="12">
        <f>WEEKNUM(Tabla2610[[#This Row],[Fecha]])</f>
        <v>36</v>
      </c>
      <c r="O74" s="1" t="s">
        <v>18</v>
      </c>
      <c r="P74" s="1">
        <v>700</v>
      </c>
      <c r="Q74" s="9">
        <v>12260415</v>
      </c>
      <c r="R74" s="1" t="s">
        <v>31</v>
      </c>
      <c r="S74" s="1">
        <v>1</v>
      </c>
    </row>
    <row r="75" spans="2:19" x14ac:dyDescent="0.3">
      <c r="B75" s="4">
        <v>46265</v>
      </c>
      <c r="C75" s="12">
        <f>WEEKNUM(Tabla158[[#This Row],[Fecha]])</f>
        <v>36</v>
      </c>
      <c r="D75" s="1" t="s">
        <v>18</v>
      </c>
      <c r="E75" s="1">
        <v>300</v>
      </c>
      <c r="F75" s="9">
        <v>12260416</v>
      </c>
      <c r="G75" s="1">
        <v>134</v>
      </c>
      <c r="H75" s="1">
        <v>1</v>
      </c>
      <c r="I75" s="3">
        <f>Tabla158[[#This Row],[Piezas NOK]]/Tabla158[[#This Row],[Piezas OK]]</f>
        <v>7.462686567164179E-3</v>
      </c>
      <c r="J75" s="12">
        <f t="shared" si="8"/>
        <v>0.9925373134328358</v>
      </c>
      <c r="K75" s="5">
        <f>Tabla158[[#This Row],[FTQ]]</f>
        <v>0.9925373134328358</v>
      </c>
      <c r="M75" s="4">
        <v>46265</v>
      </c>
      <c r="N75" s="12">
        <f>WEEKNUM(Tabla2610[[#This Row],[Fecha]])</f>
        <v>36</v>
      </c>
      <c r="O75" s="1" t="s">
        <v>18</v>
      </c>
      <c r="P75" s="1">
        <v>700</v>
      </c>
      <c r="Q75" s="9">
        <v>12260416</v>
      </c>
      <c r="R75" s="1" t="s">
        <v>59</v>
      </c>
      <c r="S75" s="1">
        <v>2</v>
      </c>
    </row>
    <row r="76" spans="2:19" x14ac:dyDescent="0.3">
      <c r="B76" s="4">
        <v>46265</v>
      </c>
      <c r="C76" s="12">
        <f>WEEKNUM(Tabla158[[#This Row],[Fecha]])</f>
        <v>36</v>
      </c>
      <c r="D76" s="1" t="s">
        <v>18</v>
      </c>
      <c r="E76" s="1">
        <v>400</v>
      </c>
      <c r="F76" s="9">
        <v>12260416</v>
      </c>
      <c r="G76" s="1">
        <v>125</v>
      </c>
      <c r="H76" s="1">
        <v>5</v>
      </c>
      <c r="I76" s="3">
        <f>Tabla158[[#This Row],[Piezas NOK]]/Tabla158[[#This Row],[Piezas OK]]</f>
        <v>0.04</v>
      </c>
      <c r="J76" s="12">
        <f t="shared" ref="J76:J82" si="9">ABS(G$3-I76)</f>
        <v>0.96</v>
      </c>
      <c r="K76" s="5">
        <f>Tabla158[[#This Row],[FTQ]]</f>
        <v>0.96</v>
      </c>
      <c r="M76" s="4">
        <v>46265</v>
      </c>
      <c r="N76" s="12">
        <f>WEEKNUM(Tabla2610[[#This Row],[Fecha]])</f>
        <v>36</v>
      </c>
      <c r="O76" s="1" t="s">
        <v>18</v>
      </c>
      <c r="P76" s="1">
        <v>800</v>
      </c>
      <c r="Q76" s="9">
        <v>12260415</v>
      </c>
      <c r="R76" s="1" t="s">
        <v>21</v>
      </c>
      <c r="S76" s="1">
        <v>8</v>
      </c>
    </row>
    <row r="77" spans="2:19" x14ac:dyDescent="0.3">
      <c r="B77" s="4">
        <v>46265</v>
      </c>
      <c r="C77" s="12">
        <f>WEEKNUM(Tabla158[[#This Row],[Fecha]])</f>
        <v>36</v>
      </c>
      <c r="D77" s="1" t="s">
        <v>18</v>
      </c>
      <c r="E77" s="1">
        <v>600</v>
      </c>
      <c r="F77" s="9">
        <v>12260416</v>
      </c>
      <c r="G77" s="1">
        <v>128</v>
      </c>
      <c r="H77" s="1">
        <v>1</v>
      </c>
      <c r="I77" s="3">
        <f>Tabla158[[#This Row],[Piezas NOK]]/Tabla158[[#This Row],[Piezas OK]]</f>
        <v>7.8125E-3</v>
      </c>
      <c r="J77" s="12">
        <f t="shared" si="9"/>
        <v>0.9921875</v>
      </c>
      <c r="K77" s="5">
        <f>Tabla158[[#This Row],[FTQ]]</f>
        <v>0.9921875</v>
      </c>
      <c r="M77" s="4">
        <v>46265</v>
      </c>
      <c r="N77" s="12">
        <f>WEEKNUM(Tabla2610[[#This Row],[Fecha]])</f>
        <v>36</v>
      </c>
      <c r="O77" s="1" t="s">
        <v>18</v>
      </c>
      <c r="P77" s="1">
        <v>800</v>
      </c>
      <c r="Q77" s="9">
        <v>12260415</v>
      </c>
      <c r="R77" s="1" t="s">
        <v>22</v>
      </c>
      <c r="S77" s="1">
        <v>4</v>
      </c>
    </row>
    <row r="78" spans="2:19" x14ac:dyDescent="0.3">
      <c r="B78" s="4">
        <v>46265</v>
      </c>
      <c r="C78" s="12">
        <f>WEEKNUM(Tabla158[[#This Row],[Fecha]])</f>
        <v>36</v>
      </c>
      <c r="D78" s="1" t="s">
        <v>18</v>
      </c>
      <c r="E78" s="1">
        <v>700</v>
      </c>
      <c r="F78" s="9">
        <v>12260416</v>
      </c>
      <c r="G78" s="1">
        <v>122</v>
      </c>
      <c r="H78" s="1">
        <v>2</v>
      </c>
      <c r="I78" s="3">
        <f>Tabla158[[#This Row],[Piezas NOK]]/Tabla158[[#This Row],[Piezas OK]]</f>
        <v>1.6393442622950821E-2</v>
      </c>
      <c r="J78" s="12">
        <f t="shared" si="9"/>
        <v>0.98360655737704916</v>
      </c>
      <c r="K78" s="5">
        <f>Tabla158[[#This Row],[FTQ]]</f>
        <v>0.98360655737704916</v>
      </c>
      <c r="M78" s="4">
        <v>46265</v>
      </c>
      <c r="N78" s="12">
        <f>WEEKNUM(Tabla2610[[#This Row],[Fecha]])</f>
        <v>36</v>
      </c>
      <c r="O78" s="1" t="s">
        <v>18</v>
      </c>
      <c r="P78" s="1">
        <v>800</v>
      </c>
      <c r="Q78" s="9">
        <v>12260415</v>
      </c>
      <c r="R78" s="1" t="s">
        <v>60</v>
      </c>
      <c r="S78" s="1">
        <v>6</v>
      </c>
    </row>
    <row r="79" spans="2:19" x14ac:dyDescent="0.3">
      <c r="B79" s="4">
        <v>46265</v>
      </c>
      <c r="C79" s="12">
        <f>WEEKNUM(Tabla158[[#This Row],[Fecha]])</f>
        <v>36</v>
      </c>
      <c r="D79" s="1" t="s">
        <v>18</v>
      </c>
      <c r="E79" s="1">
        <v>800</v>
      </c>
      <c r="F79" s="9">
        <v>12260416</v>
      </c>
      <c r="G79" s="1">
        <v>91</v>
      </c>
      <c r="H79" s="1">
        <v>2</v>
      </c>
      <c r="I79" s="3">
        <f>Tabla158[[#This Row],[Piezas NOK]]/Tabla158[[#This Row],[Piezas OK]]</f>
        <v>2.197802197802198E-2</v>
      </c>
      <c r="J79" s="12">
        <f t="shared" si="9"/>
        <v>0.97802197802197799</v>
      </c>
      <c r="K79" s="5">
        <f>Tabla158[[#This Row],[FTQ]]</f>
        <v>0.97802197802197799</v>
      </c>
      <c r="M79" s="4">
        <v>46265</v>
      </c>
      <c r="N79" s="12">
        <f>WEEKNUM(Tabla2610[[#This Row],[Fecha]])</f>
        <v>36</v>
      </c>
      <c r="O79" s="1" t="s">
        <v>18</v>
      </c>
      <c r="P79" s="1">
        <v>800</v>
      </c>
      <c r="Q79" s="9">
        <v>12260416</v>
      </c>
      <c r="R79" s="1" t="s">
        <v>22</v>
      </c>
      <c r="S79" s="1">
        <v>2</v>
      </c>
    </row>
    <row r="80" spans="2:19" x14ac:dyDescent="0.3">
      <c r="B80" s="4">
        <v>46265</v>
      </c>
      <c r="C80" s="12">
        <f>WEEKNUM(Tabla158[[#This Row],[Fecha]])</f>
        <v>36</v>
      </c>
      <c r="D80" s="1" t="s">
        <v>18</v>
      </c>
      <c r="E80" s="1">
        <v>900</v>
      </c>
      <c r="F80" s="9">
        <v>12260416</v>
      </c>
      <c r="G80" s="1">
        <v>102</v>
      </c>
      <c r="H80" s="1">
        <v>6</v>
      </c>
      <c r="I80" s="3">
        <f>Tabla158[[#This Row],[Piezas NOK]]/Tabla158[[#This Row],[Piezas OK]]</f>
        <v>5.8823529411764705E-2</v>
      </c>
      <c r="J80" s="12">
        <f t="shared" si="9"/>
        <v>0.94117647058823528</v>
      </c>
      <c r="K80" s="5">
        <f>Tabla158[[#This Row],[FTQ]]</f>
        <v>0.94117647058823528</v>
      </c>
      <c r="M80" s="4">
        <v>46265</v>
      </c>
      <c r="N80" s="12">
        <f>WEEKNUM(Tabla2610[[#This Row],[Fecha]])</f>
        <v>36</v>
      </c>
      <c r="O80" s="1" t="s">
        <v>18</v>
      </c>
      <c r="P80" s="1">
        <v>900</v>
      </c>
      <c r="Q80" s="9">
        <v>12260415</v>
      </c>
      <c r="R80" s="1" t="s">
        <v>61</v>
      </c>
      <c r="S80" s="1">
        <v>5</v>
      </c>
    </row>
    <row r="81" spans="2:19" x14ac:dyDescent="0.3">
      <c r="B81" s="4">
        <v>46265</v>
      </c>
      <c r="C81" s="12">
        <f>WEEKNUM(Tabla158[[#This Row],[Fecha]])</f>
        <v>36</v>
      </c>
      <c r="D81" s="1" t="s">
        <v>18</v>
      </c>
      <c r="E81" s="1" t="s">
        <v>15</v>
      </c>
      <c r="F81" s="9">
        <v>12260416</v>
      </c>
      <c r="G81" s="1">
        <v>102</v>
      </c>
      <c r="H81" s="1">
        <v>0</v>
      </c>
      <c r="I81" s="3">
        <f>Tabla158[[#This Row],[Piezas NOK]]/Tabla158[[#This Row],[Piezas OK]]</f>
        <v>0</v>
      </c>
      <c r="J81" s="12">
        <f t="shared" si="9"/>
        <v>1</v>
      </c>
      <c r="K81" s="5">
        <f>Tabla158[[#This Row],[FTQ]]</f>
        <v>1</v>
      </c>
      <c r="M81" s="4">
        <v>46265</v>
      </c>
      <c r="N81" s="12">
        <f>WEEKNUM(Tabla2610[[#This Row],[Fecha]])</f>
        <v>36</v>
      </c>
      <c r="O81" s="1" t="s">
        <v>18</v>
      </c>
      <c r="P81" s="1">
        <v>900</v>
      </c>
      <c r="Q81" s="9">
        <v>12260416</v>
      </c>
      <c r="R81" s="1" t="s">
        <v>61</v>
      </c>
      <c r="S81" s="1">
        <v>3</v>
      </c>
    </row>
    <row r="82" spans="2:19" x14ac:dyDescent="0.3">
      <c r="B82" s="4">
        <v>46265</v>
      </c>
      <c r="C82" s="12">
        <f>WEEKNUM(Tabla158[[#This Row],[Fecha]])</f>
        <v>36</v>
      </c>
      <c r="D82" s="1" t="s">
        <v>18</v>
      </c>
      <c r="E82" s="1" t="s">
        <v>51</v>
      </c>
      <c r="F82" s="9">
        <v>12260416</v>
      </c>
      <c r="G82" s="1">
        <v>102</v>
      </c>
      <c r="H82" s="1">
        <v>0</v>
      </c>
      <c r="I82" s="3">
        <f>Tabla158[[#This Row],[Piezas NOK]]/Tabla158[[#This Row],[Piezas OK]]</f>
        <v>0</v>
      </c>
      <c r="J82" s="12">
        <f t="shared" si="9"/>
        <v>1</v>
      </c>
      <c r="K82" s="5">
        <f>Tabla158[[#This Row],[FTQ]]</f>
        <v>1</v>
      </c>
      <c r="M82" s="4">
        <v>46265</v>
      </c>
      <c r="N82" s="12">
        <f>WEEKNUM(Tabla2610[[#This Row],[Fecha]])</f>
        <v>36</v>
      </c>
      <c r="O82" s="1" t="s">
        <v>18</v>
      </c>
      <c r="P82" s="1">
        <v>900</v>
      </c>
      <c r="Q82" s="9">
        <v>12260416</v>
      </c>
      <c r="R82" s="1" t="s">
        <v>62</v>
      </c>
      <c r="S82" s="1">
        <v>3</v>
      </c>
    </row>
    <row r="83" spans="2:19" x14ac:dyDescent="0.3">
      <c r="B83" s="4"/>
      <c r="I83" s="3"/>
      <c r="J83" s="1"/>
      <c r="K83" s="5"/>
      <c r="M83" s="4">
        <v>46265</v>
      </c>
      <c r="N83" s="12">
        <f>WEEKNUM(Tabla2610[[#This Row],[Fecha]])</f>
        <v>36</v>
      </c>
      <c r="O83" s="1" t="s">
        <v>18</v>
      </c>
      <c r="P83" s="1" t="s">
        <v>63</v>
      </c>
      <c r="Q83" s="9">
        <v>12260415</v>
      </c>
      <c r="R83" s="1" t="s">
        <v>64</v>
      </c>
      <c r="S83" s="1">
        <v>3</v>
      </c>
    </row>
    <row r="84" spans="2:19" x14ac:dyDescent="0.3">
      <c r="B84" s="4"/>
      <c r="I84" s="3"/>
      <c r="J84" s="1"/>
      <c r="K84" s="5"/>
      <c r="M84" s="4"/>
    </row>
    <row r="85" spans="2:19" x14ac:dyDescent="0.3">
      <c r="B85" s="4"/>
      <c r="I85" s="3"/>
      <c r="J85" s="1"/>
      <c r="K85" s="5"/>
      <c r="M85" s="4"/>
    </row>
    <row r="86" spans="2:19" x14ac:dyDescent="0.3">
      <c r="B86" s="4"/>
      <c r="I86" s="3"/>
      <c r="J86" s="1"/>
      <c r="K86" s="5"/>
      <c r="M86" s="4"/>
    </row>
    <row r="87" spans="2:19" x14ac:dyDescent="0.3">
      <c r="B87" s="4"/>
      <c r="I87" s="3"/>
      <c r="J87" s="1"/>
      <c r="K87" s="5"/>
      <c r="M87" s="4"/>
    </row>
    <row r="88" spans="2:19" x14ac:dyDescent="0.3">
      <c r="B88" s="4"/>
      <c r="I88" s="3"/>
      <c r="J88" s="1"/>
      <c r="K88" s="5"/>
      <c r="M88" s="4"/>
    </row>
    <row r="89" spans="2:19" x14ac:dyDescent="0.3">
      <c r="B89" s="4"/>
      <c r="I89" s="3"/>
      <c r="J89" s="1"/>
      <c r="K89" s="5"/>
      <c r="M89" s="4"/>
    </row>
    <row r="90" spans="2:19" x14ac:dyDescent="0.3">
      <c r="B90" s="4"/>
      <c r="I90" s="3"/>
      <c r="J90" s="1"/>
      <c r="K90" s="5"/>
      <c r="M90" s="4"/>
    </row>
    <row r="91" spans="2:19" x14ac:dyDescent="0.3">
      <c r="B91" s="4"/>
      <c r="I91" s="3"/>
      <c r="J91" s="1"/>
      <c r="K91" s="5"/>
      <c r="M91" s="4"/>
    </row>
    <row r="92" spans="2:19" x14ac:dyDescent="0.3">
      <c r="B92" s="4"/>
      <c r="I92" s="3"/>
      <c r="J92" s="1"/>
      <c r="K92" s="5"/>
      <c r="M92" s="4"/>
    </row>
    <row r="93" spans="2:19" x14ac:dyDescent="0.3">
      <c r="B93" s="4"/>
      <c r="I93" s="3"/>
      <c r="J93" s="1"/>
      <c r="K93" s="5"/>
      <c r="M93" s="4"/>
    </row>
    <row r="94" spans="2:19" x14ac:dyDescent="0.3">
      <c r="B94" s="4"/>
      <c r="I94" s="3"/>
      <c r="J94" s="1"/>
      <c r="K94" s="5"/>
      <c r="M94" s="4"/>
    </row>
    <row r="95" spans="2:19" x14ac:dyDescent="0.3">
      <c r="B95" s="4"/>
      <c r="I95" s="3"/>
      <c r="J95" s="1"/>
      <c r="K95" s="5"/>
      <c r="M95" s="4"/>
    </row>
    <row r="96" spans="2:19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  <c r="U221" s="1"/>
      <c r="V221" s="1"/>
    </row>
    <row r="222" spans="2:22" x14ac:dyDescent="0.3">
      <c r="B222" s="4"/>
      <c r="I222" s="3"/>
      <c r="J222" s="1"/>
      <c r="K222" s="5"/>
      <c r="M222" s="4"/>
      <c r="U222" s="1"/>
      <c r="V222" s="1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8"/>
    </row>
    <row r="240" spans="2:13" x14ac:dyDescent="0.3">
      <c r="B240" s="4"/>
      <c r="I240" s="3"/>
      <c r="J240" s="1"/>
      <c r="K240" s="5"/>
      <c r="M240" s="8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K280" s="5"/>
      <c r="M280" s="4"/>
    </row>
    <row r="281" spans="2:13" x14ac:dyDescent="0.3">
      <c r="B281" s="4"/>
      <c r="I281" s="3"/>
      <c r="J281" s="1"/>
      <c r="K281" s="5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  <c r="M284" s="4"/>
    </row>
    <row r="285" spans="2:13" x14ac:dyDescent="0.3">
      <c r="B285" s="4"/>
      <c r="I285" s="3"/>
      <c r="J285" s="1"/>
      <c r="M285" s="4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A304" t="s">
        <v>0</v>
      </c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A344" t="s">
        <v>0</v>
      </c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</row>
    <row r="427" spans="2:15" x14ac:dyDescent="0.3">
      <c r="B427" s="4"/>
      <c r="I427" s="3"/>
      <c r="J427" s="1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8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  <c r="M474" s="7"/>
      <c r="N474" s="7"/>
      <c r="O474" s="7"/>
    </row>
    <row r="475" spans="2:15" x14ac:dyDescent="0.3">
      <c r="B475" s="4"/>
      <c r="I475" s="3"/>
      <c r="J475" s="1"/>
      <c r="M475" s="7"/>
      <c r="N475" s="7"/>
      <c r="O475" s="7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A713" t="s">
        <v>0</v>
      </c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2:10" x14ac:dyDescent="0.3">
      <c r="B721" s="4"/>
      <c r="I721" s="3"/>
      <c r="J721" s="1"/>
    </row>
    <row r="722" spans="2:10" x14ac:dyDescent="0.3">
      <c r="B722" s="4"/>
      <c r="I722" s="3"/>
      <c r="J722" s="1"/>
    </row>
    <row r="723" spans="2:10" x14ac:dyDescent="0.3">
      <c r="B723" s="4"/>
      <c r="I723" s="3"/>
      <c r="J723" s="1"/>
    </row>
    <row r="724" spans="2:10" x14ac:dyDescent="0.3">
      <c r="B724" s="4"/>
      <c r="I724" s="3"/>
      <c r="J724" s="1"/>
    </row>
    <row r="725" spans="2:10" x14ac:dyDescent="0.3">
      <c r="B725" s="4"/>
      <c r="I725" s="3"/>
      <c r="J725" s="1"/>
    </row>
    <row r="726" spans="2:10" x14ac:dyDescent="0.3">
      <c r="B726" s="4"/>
      <c r="I726" s="3"/>
      <c r="J726" s="1"/>
    </row>
    <row r="727" spans="2:10" x14ac:dyDescent="0.3">
      <c r="B727" s="4"/>
      <c r="I727" s="3"/>
      <c r="J727" s="1"/>
    </row>
    <row r="728" spans="2:10" x14ac:dyDescent="0.3">
      <c r="B728" s="4"/>
      <c r="I728" s="3"/>
      <c r="J728" s="1"/>
    </row>
    <row r="729" spans="2:10" x14ac:dyDescent="0.3">
      <c r="B729" s="4"/>
      <c r="I729" s="3"/>
      <c r="J729" s="1"/>
    </row>
    <row r="730" spans="2:10" x14ac:dyDescent="0.3">
      <c r="B730" s="4"/>
      <c r="I730" s="3"/>
      <c r="J730" s="1"/>
    </row>
    <row r="731" spans="2:10" x14ac:dyDescent="0.3">
      <c r="B731" s="4"/>
      <c r="I731" s="3"/>
      <c r="J731" s="1"/>
    </row>
    <row r="732" spans="2:10" x14ac:dyDescent="0.3">
      <c r="B732" s="4"/>
      <c r="I732" s="3"/>
      <c r="J732" s="1"/>
    </row>
    <row r="733" spans="2:10" x14ac:dyDescent="0.3">
      <c r="B733" s="4"/>
      <c r="I733" s="3"/>
      <c r="J733" s="1"/>
    </row>
    <row r="734" spans="2:10" x14ac:dyDescent="0.3">
      <c r="B734" s="4"/>
      <c r="I734" s="3"/>
      <c r="J734" s="1"/>
    </row>
    <row r="735" spans="2:10" x14ac:dyDescent="0.3">
      <c r="B735" s="4"/>
      <c r="I735" s="3"/>
      <c r="J735" s="1"/>
    </row>
    <row r="736" spans="2:10" x14ac:dyDescent="0.3">
      <c r="B736" s="4"/>
      <c r="I736" s="3"/>
      <c r="J736" s="1"/>
    </row>
    <row r="737" spans="1:10" x14ac:dyDescent="0.3">
      <c r="A737" t="s">
        <v>0</v>
      </c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1:10" x14ac:dyDescent="0.3"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A755" t="s">
        <v>0</v>
      </c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G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  <row r="829" spans="2:10" x14ac:dyDescent="0.3">
      <c r="B829" s="4"/>
      <c r="I829" s="3"/>
      <c r="J829" s="1"/>
    </row>
    <row r="830" spans="2:10" x14ac:dyDescent="0.3">
      <c r="B830" s="4"/>
      <c r="I830" s="3"/>
      <c r="J830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 RIVIAN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2026-08-31T22:25:57Z</dcterms:modified>
</cp:coreProperties>
</file>