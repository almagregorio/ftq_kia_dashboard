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J:\LAUNCH MANAGEMENT\1 KI\4_NX5a\09_Information\10_FTQ\"/>
    </mc:Choice>
  </mc:AlternateContent>
  <xr:revisionPtr revIDLastSave="0" documentId="13_ncr:1_{4F3D65CE-BC26-4F02-AD01-F34EF512E388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 RIVIAN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 RIVIAN'!$B$4:$J$13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3" i="1"/>
  <c r="C5" i="1"/>
  <c r="C6" i="1"/>
  <c r="C7" i="1"/>
  <c r="C8" i="1"/>
  <c r="C9" i="1"/>
  <c r="C10" i="1"/>
  <c r="C11" i="1"/>
  <c r="C12" i="1"/>
  <c r="C13" i="1"/>
  <c r="N6" i="1"/>
  <c r="N7" i="1"/>
  <c r="N8" i="1"/>
  <c r="N9" i="1"/>
  <c r="N10" i="1"/>
  <c r="N11" i="1"/>
  <c r="N12" i="1"/>
  <c r="N5" i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</calcChain>
</file>

<file path=xl/sharedStrings.xml><?xml version="1.0" encoding="utf-8"?>
<sst xmlns="http://schemas.openxmlformats.org/spreadsheetml/2006/main" count="62" uniqueCount="27">
  <si>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</si>
  <si>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</si>
  <si>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</si>
  <si>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</si>
  <si>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</si>
  <si>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</si>
  <si>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</si>
  <si>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</si>
  <si>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</si>
  <si>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</si>
  <si>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</si>
  <si>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</si>
  <si>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</si>
  <si>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</si>
  <si>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</si>
  <si>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KIA</t>
  </si>
  <si>
    <t>1100A</t>
  </si>
  <si>
    <t>No coloca puntos de grasa Op.100</t>
  </si>
  <si>
    <t>Falla detección en cámara Op.200</t>
  </si>
  <si>
    <t>Falla detección de palanca por cámara Op.300</t>
  </si>
  <si>
    <t>Falla detección en cámara Op.600</t>
  </si>
  <si>
    <t>Coloca corredera en posicion incorrecta Op.400</t>
  </si>
  <si>
    <t>Corto en soldadura Op.800</t>
  </si>
  <si>
    <t>Falta de soldeo Op.800</t>
  </si>
  <si>
    <t>Falta de soldeo Op.1100A</t>
  </si>
  <si>
    <t>Falla en detección de cable en spiral Op.1100A</t>
  </si>
  <si>
    <t>Falso rechazo Op.1100A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</si>
</sst>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13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5"/>
    <tableColumn id="4" xr3:uid="{5F1693BE-115D-44D5-AF56-1D264ADD732C}" name="Version" dataDxfId="3"/>
    <tableColumn id="5" xr3:uid="{5338F4E1-D693-43F8-949D-571F0CE39E9A}" name="Piezas OK" dataDxfId="4"/>
    <tableColumn id="6" xr3:uid="{3D66411F-A368-4E6A-B088-6142D3936EC3}" name="Piezas NOK" dataDxfId="15"/>
    <tableColumn id="10" xr3:uid="{C4AB812D-0BAE-4D93-864F-897D5721DC95}" name="Division " dataDxfId="14">
      <calculatedColumnFormula>Tabla158[[#This Row],[Piezas NOK]]/Tabla158[[#This Row],[Piezas OK]]</calculatedColumnFormula>
    </tableColumn>
    <tableColumn id="8" xr3:uid="{F39DB17C-B4B4-4352-B595-2330856B09A4}" name="FTQ" dataDxfId="13">
      <calculatedColumnFormula>ABS(G$3-I5)</calculatedColumnFormula>
    </tableColumn>
    <tableColumn id="12" xr3:uid="{09CB875C-7FE1-4B1A-9517-6670DA724128}" name="%" dataDxfId="12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14" totalsRowShown="0" headerRowDxfId="11" dataDxfId="10">
  <tableColumns count="7">
    <tableColumn id="1" xr3:uid="{D688BA2E-A64E-4433-85E0-7EDBF854AF60}" name="Fecha" dataDxfId="9"/>
    <tableColumn id="7" xr3:uid="{D3EA5E8D-DD68-48AC-8DAC-4A4077839479}" name="Semana" dataDxfId="8">
      <calculatedColumnFormula>WEEKNUM(Tabla2610[[#This Row],[Fecha]])</calculatedColumnFormula>
    </tableColumn>
    <tableColumn id="2" xr3:uid="{2BBDA3EE-1089-4999-82D7-821DAA1CF033}" name="Línea" dataDxfId="7"/>
    <tableColumn id="3" xr3:uid="{A327B0AF-C947-4083-8F0A-4A5908FD3558}" name="Maquina" dataDxfId="2"/>
    <tableColumn id="4" xr3:uid="{58C9F38E-D89E-450A-9CAA-EFCECBECC74C}" name="Version" dataDxfId="0"/>
    <tableColumn id="5" xr3:uid="{5C95C72F-200A-46B3-A6FC-20E7D88A7BCD}" name="Defecto" dataDxfId="1"/>
    <tableColumn id="6" xr3:uid="{33109690-8A43-4F38-8F52-FD73CBA9F32F}" name="Cantidad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31"/>
  <sheetViews>
    <sheetView tabSelected="1" topLeftCell="C3" zoomScale="84" zoomScaleNormal="110" workbookViewId="0">
      <selection activeCell="Q21" sqref="Q21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0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9.88671875" style="1" bestFit="1" customWidth="1"/>
    <col min="16" max="16" width="13.21875" style="1" bestFit="1" customWidth="1"/>
    <col min="17" max="17" width="11.77734375" style="1" bestFit="1" customWidth="1"/>
    <col min="18" max="18" width="47.5546875" style="1" customWidth="1"/>
    <col min="19" max="19" width="13" style="1" bestFit="1" customWidth="1"/>
  </cols>
  <sheetData>
    <row r="1" spans="2:19" ht="14.4" customHeight="1" x14ac:dyDescent="0.3">
      <c r="B1" s="9" t="s">
        <v>14</v>
      </c>
      <c r="C1" s="9"/>
      <c r="D1" s="9"/>
      <c r="E1" s="9"/>
      <c r="F1" s="9"/>
      <c r="G1" s="9"/>
      <c r="H1" s="9"/>
      <c r="I1" s="9"/>
      <c r="J1" s="9"/>
      <c r="K1" s="6"/>
      <c r="M1" s="9" t="s">
        <v>13</v>
      </c>
      <c r="N1" s="9"/>
      <c r="O1" s="9"/>
      <c r="P1" s="9"/>
      <c r="Q1" s="9"/>
      <c r="R1" s="9"/>
      <c r="S1" s="9"/>
    </row>
    <row r="2" spans="2:19" ht="14.4" customHeight="1" x14ac:dyDescent="0.3">
      <c r="B2" s="9"/>
      <c r="C2" s="9"/>
      <c r="D2" s="9"/>
      <c r="E2" s="9"/>
      <c r="F2" s="9"/>
      <c r="G2" s="9"/>
      <c r="H2" s="9"/>
      <c r="I2" s="9"/>
      <c r="J2" s="9"/>
      <c r="K2" s="6"/>
      <c r="M2" s="9"/>
      <c r="N2" s="9"/>
      <c r="O2" s="9"/>
      <c r="P2" s="9"/>
      <c r="Q2" s="9"/>
      <c r="R2" s="9"/>
      <c r="S2" s="9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46217</v>
      </c>
      <c r="C5" s="1">
        <f>WEEKNUM(Tabla158[[#This Row],[Fecha]])</f>
        <v>29</v>
      </c>
      <c r="D5" s="1" t="s">
        <v>15</v>
      </c>
      <c r="E5" s="1">
        <v>100</v>
      </c>
      <c r="F5" s="10">
        <v>12264732</v>
      </c>
      <c r="G5" s="1">
        <v>104</v>
      </c>
      <c r="H5" s="1">
        <v>1</v>
      </c>
      <c r="I5" s="3">
        <f>Tabla158[[#This Row],[Piezas NOK]]/Tabla158[[#This Row],[Piezas OK]]</f>
        <v>9.6153846153846159E-3</v>
      </c>
      <c r="J5" s="1">
        <f t="shared" ref="J5:J13" si="0">ABS(G$3-I5)</f>
        <v>0.99038461538461542</v>
      </c>
      <c r="K5" s="5">
        <f>Tabla158[[#This Row],[FTQ]]</f>
        <v>0.99038461538461542</v>
      </c>
      <c r="M5" s="4">
        <v>46217</v>
      </c>
      <c r="N5" s="1">
        <f>WEEKNUM(Tabla2610[[#This Row],[Fecha]])</f>
        <v>29</v>
      </c>
      <c r="O5" s="1" t="s">
        <v>15</v>
      </c>
      <c r="P5" s="1">
        <v>100</v>
      </c>
      <c r="Q5" s="10">
        <v>12264732</v>
      </c>
      <c r="R5" s="1" t="s">
        <v>17</v>
      </c>
      <c r="S5" s="1">
        <v>1</v>
      </c>
    </row>
    <row r="6" spans="2:19" x14ac:dyDescent="0.3">
      <c r="B6" s="4">
        <v>46217</v>
      </c>
      <c r="C6" s="1">
        <f>WEEKNUM(Tabla158[[#This Row],[Fecha]])</f>
        <v>29</v>
      </c>
      <c r="D6" s="1" t="s">
        <v>15</v>
      </c>
      <c r="E6" s="1">
        <v>200</v>
      </c>
      <c r="F6" s="10">
        <v>12264732</v>
      </c>
      <c r="G6" s="1">
        <v>106</v>
      </c>
      <c r="H6" s="1">
        <v>1</v>
      </c>
      <c r="I6" s="3">
        <f>Tabla158[[#This Row],[Piezas NOK]]/Tabla158[[#This Row],[Piezas OK]]</f>
        <v>9.433962264150943E-3</v>
      </c>
      <c r="J6" s="1">
        <f t="shared" si="0"/>
        <v>0.99056603773584906</v>
      </c>
      <c r="K6" s="5">
        <f>Tabla158[[#This Row],[FTQ]]</f>
        <v>0.99056603773584906</v>
      </c>
      <c r="M6" s="4">
        <v>46217</v>
      </c>
      <c r="N6" s="1">
        <f>WEEKNUM(Tabla2610[[#This Row],[Fecha]])</f>
        <v>29</v>
      </c>
      <c r="O6" s="1" t="s">
        <v>15</v>
      </c>
      <c r="P6" s="1">
        <v>200</v>
      </c>
      <c r="Q6" s="10">
        <v>12264732</v>
      </c>
      <c r="R6" s="1" t="s">
        <v>18</v>
      </c>
      <c r="S6" s="1">
        <v>1</v>
      </c>
    </row>
    <row r="7" spans="2:19" x14ac:dyDescent="0.3">
      <c r="B7" s="4">
        <v>46217</v>
      </c>
      <c r="C7" s="1">
        <f>WEEKNUM(Tabla158[[#This Row],[Fecha]])</f>
        <v>29</v>
      </c>
      <c r="D7" s="1" t="s">
        <v>15</v>
      </c>
      <c r="E7" s="1">
        <v>300</v>
      </c>
      <c r="F7" s="10">
        <v>12264732</v>
      </c>
      <c r="G7" s="1">
        <v>112</v>
      </c>
      <c r="H7" s="1">
        <v>3</v>
      </c>
      <c r="I7" s="3">
        <f>Tabla158[[#This Row],[Piezas NOK]]/Tabla158[[#This Row],[Piezas OK]]</f>
        <v>2.6785714285714284E-2</v>
      </c>
      <c r="J7" s="1">
        <f t="shared" si="0"/>
        <v>0.9732142857142857</v>
      </c>
      <c r="K7" s="5">
        <f>Tabla158[[#This Row],[FTQ]]</f>
        <v>0.9732142857142857</v>
      </c>
      <c r="M7" s="4">
        <v>46217</v>
      </c>
      <c r="N7" s="1">
        <f>WEEKNUM(Tabla2610[[#This Row],[Fecha]])</f>
        <v>29</v>
      </c>
      <c r="O7" s="1" t="s">
        <v>15</v>
      </c>
      <c r="P7" s="1">
        <v>300</v>
      </c>
      <c r="Q7" s="10">
        <v>12264732</v>
      </c>
      <c r="R7" s="1" t="s">
        <v>19</v>
      </c>
      <c r="S7" s="1">
        <v>3</v>
      </c>
    </row>
    <row r="8" spans="2:19" x14ac:dyDescent="0.3">
      <c r="B8" s="4">
        <v>46217</v>
      </c>
      <c r="C8" s="1">
        <f>WEEKNUM(Tabla158[[#This Row],[Fecha]])</f>
        <v>29</v>
      </c>
      <c r="D8" s="1" t="s">
        <v>15</v>
      </c>
      <c r="E8" s="1">
        <v>400</v>
      </c>
      <c r="F8" s="10">
        <v>12264732</v>
      </c>
      <c r="G8" s="1">
        <v>94</v>
      </c>
      <c r="H8" s="1">
        <v>79</v>
      </c>
      <c r="I8" s="3">
        <f>Tabla158[[#This Row],[Piezas NOK]]/Tabla158[[#This Row],[Piezas OK]]</f>
        <v>0.84042553191489366</v>
      </c>
      <c r="J8" s="1">
        <f t="shared" si="0"/>
        <v>0.15957446808510634</v>
      </c>
      <c r="K8" s="5">
        <f>Tabla158[[#This Row],[FTQ]]</f>
        <v>0.15957446808510634</v>
      </c>
      <c r="M8" s="4">
        <v>46217</v>
      </c>
      <c r="N8" s="1">
        <f>WEEKNUM(Tabla2610[[#This Row],[Fecha]])</f>
        <v>29</v>
      </c>
      <c r="O8" s="1" t="s">
        <v>15</v>
      </c>
      <c r="P8" s="1">
        <v>400</v>
      </c>
      <c r="Q8" s="10">
        <v>12264732</v>
      </c>
      <c r="R8" s="1" t="s">
        <v>21</v>
      </c>
      <c r="S8" s="1">
        <v>79</v>
      </c>
    </row>
    <row r="9" spans="2:19" x14ac:dyDescent="0.3">
      <c r="B9" s="4">
        <v>46217</v>
      </c>
      <c r="C9" s="1">
        <f>WEEKNUM(Tabla158[[#This Row],[Fecha]])</f>
        <v>29</v>
      </c>
      <c r="D9" s="1" t="s">
        <v>15</v>
      </c>
      <c r="E9" s="1">
        <v>600</v>
      </c>
      <c r="F9" s="10">
        <v>12264732</v>
      </c>
      <c r="G9" s="1">
        <v>97</v>
      </c>
      <c r="H9" s="1">
        <v>1</v>
      </c>
      <c r="I9" s="3">
        <f>Tabla158[[#This Row],[Piezas NOK]]/Tabla158[[#This Row],[Piezas OK]]</f>
        <v>1.0309278350515464E-2</v>
      </c>
      <c r="J9" s="1">
        <f t="shared" si="0"/>
        <v>0.98969072164948457</v>
      </c>
      <c r="K9" s="5">
        <f>Tabla158[[#This Row],[FTQ]]</f>
        <v>0.98969072164948457</v>
      </c>
      <c r="M9" s="4">
        <v>46217</v>
      </c>
      <c r="N9" s="1">
        <f>WEEKNUM(Tabla2610[[#This Row],[Fecha]])</f>
        <v>29</v>
      </c>
      <c r="O9" s="1" t="s">
        <v>15</v>
      </c>
      <c r="P9" s="1">
        <v>600</v>
      </c>
      <c r="Q9" s="10">
        <v>12264732</v>
      </c>
      <c r="R9" s="1" t="s">
        <v>20</v>
      </c>
      <c r="S9" s="1">
        <v>1</v>
      </c>
    </row>
    <row r="10" spans="2:19" x14ac:dyDescent="0.3">
      <c r="B10" s="4">
        <v>46217</v>
      </c>
      <c r="C10" s="1">
        <f>WEEKNUM(Tabla158[[#This Row],[Fecha]])</f>
        <v>29</v>
      </c>
      <c r="D10" s="1" t="s">
        <v>15</v>
      </c>
      <c r="E10" s="1">
        <v>700</v>
      </c>
      <c r="F10" s="10">
        <v>12264732</v>
      </c>
      <c r="G10" s="1">
        <v>98</v>
      </c>
      <c r="H10" s="1">
        <v>0</v>
      </c>
      <c r="I10" s="3">
        <f>Tabla158[[#This Row],[Piezas NOK]]/Tabla158[[#This Row],[Piezas OK]]</f>
        <v>0</v>
      </c>
      <c r="J10" s="1">
        <f t="shared" si="0"/>
        <v>1</v>
      </c>
      <c r="K10" s="5">
        <f>Tabla158[[#This Row],[FTQ]]</f>
        <v>1</v>
      </c>
      <c r="M10" s="4">
        <v>46217</v>
      </c>
      <c r="N10" s="1">
        <f>WEEKNUM(Tabla2610[[#This Row],[Fecha]])</f>
        <v>29</v>
      </c>
      <c r="O10" s="1" t="s">
        <v>15</v>
      </c>
      <c r="P10" s="1">
        <v>800</v>
      </c>
      <c r="Q10" s="10">
        <v>12264732</v>
      </c>
      <c r="R10" s="1" t="s">
        <v>22</v>
      </c>
      <c r="S10" s="1">
        <v>3</v>
      </c>
    </row>
    <row r="11" spans="2:19" x14ac:dyDescent="0.3">
      <c r="B11" s="4">
        <v>46217</v>
      </c>
      <c r="C11" s="1">
        <f>WEEKNUM(Tabla158[[#This Row],[Fecha]])</f>
        <v>29</v>
      </c>
      <c r="D11" s="1" t="s">
        <v>15</v>
      </c>
      <c r="E11" s="1">
        <v>800</v>
      </c>
      <c r="F11" s="10">
        <v>12264732</v>
      </c>
      <c r="G11" s="1">
        <v>98</v>
      </c>
      <c r="H11" s="1">
        <v>12</v>
      </c>
      <c r="I11" s="3">
        <f>Tabla158[[#This Row],[Piezas NOK]]/Tabla158[[#This Row],[Piezas OK]]</f>
        <v>0.12244897959183673</v>
      </c>
      <c r="J11" s="1">
        <f t="shared" si="0"/>
        <v>0.87755102040816324</v>
      </c>
      <c r="K11" s="5">
        <f>Tabla158[[#This Row],[FTQ]]</f>
        <v>0.87755102040816324</v>
      </c>
      <c r="M11" s="4">
        <v>46217</v>
      </c>
      <c r="N11" s="1">
        <f>WEEKNUM(Tabla2610[[#This Row],[Fecha]])</f>
        <v>29</v>
      </c>
      <c r="O11" s="1" t="s">
        <v>15</v>
      </c>
      <c r="P11" s="1">
        <v>800</v>
      </c>
      <c r="Q11" s="10">
        <v>12264732</v>
      </c>
      <c r="R11" s="1" t="s">
        <v>23</v>
      </c>
      <c r="S11" s="1">
        <v>9</v>
      </c>
    </row>
    <row r="12" spans="2:19" x14ac:dyDescent="0.3">
      <c r="B12" s="4">
        <v>46217</v>
      </c>
      <c r="C12" s="1">
        <f>WEEKNUM(Tabla158[[#This Row],[Fecha]])</f>
        <v>29</v>
      </c>
      <c r="D12" s="1" t="s">
        <v>15</v>
      </c>
      <c r="E12" s="1">
        <v>900</v>
      </c>
      <c r="F12" s="10">
        <v>12264732</v>
      </c>
      <c r="G12" s="1">
        <v>98</v>
      </c>
      <c r="H12" s="1">
        <v>0</v>
      </c>
      <c r="I12" s="3">
        <f>Tabla158[[#This Row],[Piezas NOK]]/Tabla158[[#This Row],[Piezas OK]]</f>
        <v>0</v>
      </c>
      <c r="J12" s="1">
        <f t="shared" si="0"/>
        <v>1</v>
      </c>
      <c r="K12" s="5">
        <f>Tabla158[[#This Row],[FTQ]]</f>
        <v>1</v>
      </c>
      <c r="M12" s="4">
        <v>46217</v>
      </c>
      <c r="N12" s="1">
        <f>WEEKNUM(Tabla2610[[#This Row],[Fecha]])</f>
        <v>29</v>
      </c>
      <c r="O12" s="1" t="s">
        <v>15</v>
      </c>
      <c r="P12" s="1" t="s">
        <v>16</v>
      </c>
      <c r="Q12" s="10">
        <v>12264732</v>
      </c>
      <c r="R12" s="1" t="s">
        <v>24</v>
      </c>
      <c r="S12" s="1">
        <v>1</v>
      </c>
    </row>
    <row r="13" spans="2:19" x14ac:dyDescent="0.3">
      <c r="B13" s="4">
        <v>46217</v>
      </c>
      <c r="C13" s="1">
        <f>WEEKNUM(Tabla158[[#This Row],[Fecha]])</f>
        <v>29</v>
      </c>
      <c r="D13" s="1" t="s">
        <v>15</v>
      </c>
      <c r="E13" s="1" t="s">
        <v>16</v>
      </c>
      <c r="F13" s="10">
        <v>12264732</v>
      </c>
      <c r="G13" s="1">
        <v>77</v>
      </c>
      <c r="H13" s="1">
        <v>3</v>
      </c>
      <c r="I13" s="3">
        <f>Tabla158[[#This Row],[Piezas NOK]]/Tabla158[[#This Row],[Piezas OK]]</f>
        <v>3.896103896103896E-2</v>
      </c>
      <c r="J13" s="1">
        <f t="shared" si="0"/>
        <v>0.96103896103896103</v>
      </c>
      <c r="K13" s="5">
        <f>Tabla158[[#This Row],[FTQ]]</f>
        <v>0.96103896103896103</v>
      </c>
      <c r="M13" s="4">
        <v>46217</v>
      </c>
      <c r="N13" s="1">
        <f>WEEKNUM(Tabla2610[[#This Row],[Fecha]])</f>
        <v>29</v>
      </c>
      <c r="O13" s="1" t="s">
        <v>15</v>
      </c>
      <c r="P13" s="1" t="s">
        <v>16</v>
      </c>
      <c r="Q13" s="10">
        <v>12264732</v>
      </c>
      <c r="R13" s="1" t="s">
        <v>25</v>
      </c>
      <c r="S13" s="1">
        <v>1</v>
      </c>
    </row>
    <row r="14" spans="2:19" x14ac:dyDescent="0.3">
      <c r="B14" s="4"/>
      <c r="I14" s="3"/>
      <c r="J14" s="1"/>
      <c r="K14" s="5"/>
      <c r="M14" s="4">
        <v>46217</v>
      </c>
      <c r="N14" s="1">
        <f>WEEKNUM(Tabla2610[[#This Row],[Fecha]])</f>
        <v>29</v>
      </c>
      <c r="O14" s="1" t="s">
        <v>15</v>
      </c>
      <c r="P14" s="1" t="s">
        <v>16</v>
      </c>
      <c r="Q14" s="10">
        <v>12264732</v>
      </c>
      <c r="R14" s="1" t="s">
        <v>26</v>
      </c>
      <c r="S14" s="1">
        <v>1</v>
      </c>
    </row>
    <row r="15" spans="2:19" x14ac:dyDescent="0.3">
      <c r="B15" s="4"/>
      <c r="I15" s="3"/>
      <c r="J15" s="1"/>
      <c r="K15" s="5"/>
      <c r="M15" s="4"/>
    </row>
    <row r="16" spans="2:19" x14ac:dyDescent="0.3">
      <c r="B16" s="4"/>
      <c r="I16" s="3"/>
      <c r="J16" s="1"/>
      <c r="K16" s="5"/>
      <c r="M16" s="4"/>
    </row>
    <row r="17" spans="2:13" x14ac:dyDescent="0.3">
      <c r="B17" s="4"/>
      <c r="I17" s="3"/>
      <c r="J17" s="1"/>
      <c r="K17" s="5"/>
      <c r="M17" s="4"/>
    </row>
    <row r="18" spans="2:13" x14ac:dyDescent="0.3">
      <c r="B18" s="4"/>
      <c r="I18" s="3"/>
      <c r="J18" s="1"/>
      <c r="K18" s="5"/>
      <c r="M18" s="4"/>
    </row>
    <row r="19" spans="2:13" x14ac:dyDescent="0.3">
      <c r="B19" s="4"/>
      <c r="I19" s="3"/>
      <c r="J19" s="1"/>
      <c r="K19" s="5"/>
      <c r="M19" s="4"/>
    </row>
    <row r="20" spans="2:13" x14ac:dyDescent="0.3">
      <c r="B20" s="4"/>
      <c r="I20" s="3"/>
      <c r="J20" s="1"/>
      <c r="K20" s="5"/>
      <c r="M20" s="4"/>
    </row>
    <row r="21" spans="2:13" x14ac:dyDescent="0.3">
      <c r="B21" s="4"/>
      <c r="I21" s="3"/>
      <c r="J21" s="1"/>
      <c r="K21" s="5"/>
      <c r="M21" s="4"/>
    </row>
    <row r="22" spans="2:13" x14ac:dyDescent="0.3">
      <c r="B22" s="4"/>
      <c r="I22" s="3"/>
      <c r="J22" s="1"/>
      <c r="K22" s="5"/>
      <c r="M22" s="4"/>
    </row>
    <row r="23" spans="2:13" x14ac:dyDescent="0.3">
      <c r="B23" s="4"/>
      <c r="I23" s="3"/>
      <c r="J23" s="1"/>
      <c r="K23" s="5"/>
      <c r="M23" s="4"/>
    </row>
    <row r="24" spans="2:13" x14ac:dyDescent="0.3">
      <c r="B24" s="4"/>
      <c r="I24" s="3"/>
      <c r="J24" s="1"/>
      <c r="K24" s="5"/>
      <c r="M24" s="4"/>
    </row>
    <row r="25" spans="2:13" x14ac:dyDescent="0.3">
      <c r="B25" s="4"/>
      <c r="I25" s="3"/>
      <c r="J25" s="1"/>
      <c r="K25" s="5"/>
      <c r="M25" s="4"/>
    </row>
    <row r="26" spans="2:13" x14ac:dyDescent="0.3">
      <c r="B26" s="4"/>
      <c r="I26" s="3"/>
      <c r="J26" s="1"/>
      <c r="K26" s="5"/>
      <c r="M26" s="4"/>
    </row>
    <row r="27" spans="2:13" x14ac:dyDescent="0.3">
      <c r="B27" s="4"/>
      <c r="I27" s="3"/>
      <c r="J27" s="1"/>
      <c r="K27" s="5"/>
      <c r="M27" s="4"/>
    </row>
    <row r="28" spans="2:13" x14ac:dyDescent="0.3">
      <c r="B28" s="4"/>
      <c r="I28" s="3"/>
      <c r="J28" s="1"/>
      <c r="K28" s="5"/>
      <c r="M28" s="4"/>
    </row>
    <row r="29" spans="2:13" x14ac:dyDescent="0.3">
      <c r="B29" s="4"/>
      <c r="I29" s="3"/>
      <c r="J29" s="1"/>
      <c r="K29" s="5"/>
      <c r="M29" s="4"/>
    </row>
    <row r="30" spans="2:13" x14ac:dyDescent="0.3">
      <c r="B30" s="4"/>
      <c r="I30" s="3"/>
      <c r="J30" s="1"/>
      <c r="K30" s="5"/>
      <c r="M30" s="4"/>
    </row>
    <row r="31" spans="2:13" x14ac:dyDescent="0.3">
      <c r="B31" s="4"/>
      <c r="I31" s="3"/>
      <c r="J31" s="1"/>
      <c r="K31" s="5"/>
      <c r="M31" s="4"/>
    </row>
    <row r="32" spans="2:13" x14ac:dyDescent="0.3">
      <c r="B32" s="4"/>
      <c r="I32" s="3"/>
      <c r="J32" s="1"/>
      <c r="K32" s="5"/>
      <c r="M32" s="4"/>
    </row>
    <row r="33" spans="2:13" x14ac:dyDescent="0.3">
      <c r="B33" s="4"/>
      <c r="I33" s="3"/>
      <c r="J33" s="1"/>
      <c r="K33" s="5"/>
      <c r="M33" s="4"/>
    </row>
    <row r="34" spans="2:13" x14ac:dyDescent="0.3">
      <c r="B34" s="4"/>
      <c r="I34" s="3"/>
      <c r="J34" s="1"/>
      <c r="K34" s="5"/>
      <c r="M34" s="4"/>
    </row>
    <row r="35" spans="2:13" x14ac:dyDescent="0.3">
      <c r="B35" s="4"/>
      <c r="I35" s="3"/>
      <c r="J35" s="1"/>
      <c r="K35" s="5"/>
      <c r="M35" s="4"/>
    </row>
    <row r="36" spans="2:13" x14ac:dyDescent="0.3">
      <c r="B36" s="4"/>
      <c r="I36" s="3"/>
      <c r="J36" s="1"/>
      <c r="K36" s="5"/>
      <c r="M36" s="4"/>
    </row>
    <row r="37" spans="2:13" x14ac:dyDescent="0.3">
      <c r="B37" s="4"/>
      <c r="I37" s="3"/>
      <c r="J37" s="1"/>
      <c r="K37" s="5"/>
      <c r="M37" s="4"/>
    </row>
    <row r="38" spans="2:13" x14ac:dyDescent="0.3">
      <c r="B38" s="4"/>
      <c r="I38" s="3"/>
      <c r="J38" s="1"/>
      <c r="K38" s="5"/>
      <c r="M38" s="4"/>
    </row>
    <row r="39" spans="2:13" x14ac:dyDescent="0.3">
      <c r="B39" s="4"/>
      <c r="I39" s="3"/>
      <c r="J39" s="1"/>
      <c r="K39" s="5"/>
      <c r="M39" s="4"/>
    </row>
    <row r="40" spans="2:13" x14ac:dyDescent="0.3">
      <c r="B40" s="4"/>
      <c r="I40" s="3"/>
      <c r="J40" s="1"/>
      <c r="K40" s="5"/>
      <c r="M40" s="4"/>
    </row>
    <row r="41" spans="2:13" x14ac:dyDescent="0.3">
      <c r="B41" s="4"/>
      <c r="I41" s="3"/>
      <c r="J41" s="1"/>
      <c r="K41" s="5"/>
      <c r="M41" s="4"/>
    </row>
    <row r="42" spans="2:13" x14ac:dyDescent="0.3">
      <c r="B42" s="4"/>
      <c r="I42" s="3"/>
      <c r="J42" s="1"/>
      <c r="K42" s="5"/>
      <c r="M42" s="4"/>
    </row>
    <row r="43" spans="2:13" x14ac:dyDescent="0.3">
      <c r="B43" s="4"/>
      <c r="I43" s="3"/>
      <c r="J43" s="1"/>
      <c r="K43" s="5"/>
      <c r="M43" s="4"/>
    </row>
    <row r="44" spans="2:13" x14ac:dyDescent="0.3">
      <c r="B44" s="4"/>
      <c r="I44" s="3"/>
      <c r="J44" s="1"/>
      <c r="K44" s="5"/>
      <c r="M44" s="4"/>
    </row>
    <row r="45" spans="2:13" x14ac:dyDescent="0.3">
      <c r="B45" s="4"/>
      <c r="I45" s="3"/>
      <c r="J45" s="1"/>
      <c r="K45" s="5"/>
      <c r="M45" s="4"/>
    </row>
    <row r="46" spans="2:13" x14ac:dyDescent="0.3">
      <c r="B46" s="4"/>
      <c r="I46" s="3"/>
      <c r="J46" s="1"/>
      <c r="K46" s="5"/>
      <c r="M46" s="4"/>
    </row>
    <row r="47" spans="2:13" x14ac:dyDescent="0.3">
      <c r="B47" s="4"/>
      <c r="I47" s="3"/>
      <c r="J47" s="1"/>
      <c r="K47" s="5"/>
      <c r="M47" s="4"/>
    </row>
    <row r="48" spans="2:13" x14ac:dyDescent="0.3">
      <c r="B48" s="4"/>
      <c r="I48" s="3"/>
      <c r="J48" s="1"/>
      <c r="K48" s="5"/>
      <c r="M48" s="4"/>
    </row>
    <row r="49" spans="2:13" x14ac:dyDescent="0.3">
      <c r="B49" s="4"/>
      <c r="I49" s="3"/>
      <c r="J49" s="1"/>
      <c r="K49" s="5"/>
      <c r="M49" s="4"/>
    </row>
    <row r="50" spans="2:13" x14ac:dyDescent="0.3">
      <c r="B50" s="4"/>
      <c r="I50" s="3"/>
      <c r="J50" s="1"/>
      <c r="K50" s="5"/>
      <c r="M50" s="4"/>
    </row>
    <row r="51" spans="2:13" x14ac:dyDescent="0.3">
      <c r="B51" s="4"/>
      <c r="I51" s="3"/>
      <c r="J51" s="1"/>
      <c r="K51" s="5"/>
      <c r="M51" s="4"/>
    </row>
    <row r="52" spans="2:13" x14ac:dyDescent="0.3">
      <c r="B52" s="4"/>
      <c r="I52" s="3"/>
      <c r="J52" s="1"/>
      <c r="K52" s="5"/>
      <c r="M52" s="4"/>
    </row>
    <row r="53" spans="2:13" x14ac:dyDescent="0.3">
      <c r="B53" s="4"/>
      <c r="I53" s="3"/>
      <c r="J53" s="1"/>
      <c r="K53" s="5"/>
      <c r="M53" s="4"/>
    </row>
    <row r="54" spans="2:13" x14ac:dyDescent="0.3">
      <c r="B54" s="4"/>
      <c r="I54" s="3"/>
      <c r="J54" s="1"/>
      <c r="K54" s="5"/>
      <c r="M54" s="4"/>
    </row>
    <row r="55" spans="2:13" x14ac:dyDescent="0.3">
      <c r="B55" s="4"/>
      <c r="I55" s="3"/>
      <c r="J55" s="1"/>
      <c r="K55" s="5"/>
      <c r="M55" s="4"/>
    </row>
    <row r="56" spans="2:13" x14ac:dyDescent="0.3">
      <c r="B56" s="4"/>
      <c r="I56" s="3"/>
      <c r="J56" s="1"/>
      <c r="K56" s="5"/>
      <c r="M56" s="4"/>
    </row>
    <row r="57" spans="2:13" x14ac:dyDescent="0.3">
      <c r="B57" s="4"/>
      <c r="I57" s="3"/>
      <c r="J57" s="1"/>
      <c r="K57" s="5"/>
      <c r="M57" s="4"/>
    </row>
    <row r="58" spans="2:13" x14ac:dyDescent="0.3">
      <c r="B58" s="4"/>
      <c r="I58" s="3"/>
      <c r="J58" s="1"/>
      <c r="K58" s="5"/>
      <c r="M58" s="4"/>
    </row>
    <row r="59" spans="2:13" x14ac:dyDescent="0.3">
      <c r="B59" s="4"/>
      <c r="I59" s="3"/>
      <c r="J59" s="1"/>
      <c r="K59" s="5"/>
      <c r="M59" s="4"/>
    </row>
    <row r="60" spans="2:13" x14ac:dyDescent="0.3">
      <c r="B60" s="4"/>
      <c r="I60" s="3"/>
      <c r="J60" s="1"/>
      <c r="K60" s="5"/>
      <c r="M60" s="4"/>
    </row>
    <row r="61" spans="2:13" x14ac:dyDescent="0.3">
      <c r="B61" s="4"/>
      <c r="I61" s="3"/>
      <c r="J61" s="1"/>
      <c r="K61" s="5"/>
      <c r="M61" s="4"/>
    </row>
    <row r="62" spans="2:13" x14ac:dyDescent="0.3">
      <c r="B62" s="4"/>
      <c r="I62" s="3"/>
      <c r="J62" s="1"/>
      <c r="K62" s="5"/>
      <c r="M62" s="4"/>
    </row>
    <row r="63" spans="2:13" x14ac:dyDescent="0.3">
      <c r="B63" s="4"/>
      <c r="I63" s="3"/>
      <c r="J63" s="1"/>
      <c r="K63" s="5"/>
      <c r="M63" s="4"/>
    </row>
    <row r="64" spans="2:13" x14ac:dyDescent="0.3">
      <c r="B64" s="4"/>
      <c r="I64" s="3"/>
      <c r="J64" s="1"/>
      <c r="K64" s="5"/>
      <c r="M64" s="4"/>
    </row>
    <row r="65" spans="2:13" x14ac:dyDescent="0.3">
      <c r="B65" s="4"/>
      <c r="I65" s="3"/>
      <c r="J65" s="1"/>
      <c r="K65" s="5"/>
      <c r="M65" s="4"/>
    </row>
    <row r="66" spans="2:13" x14ac:dyDescent="0.3">
      <c r="B66" s="4"/>
      <c r="I66" s="3"/>
      <c r="J66" s="1"/>
      <c r="K66" s="5"/>
      <c r="M66" s="4"/>
    </row>
    <row r="67" spans="2:13" x14ac:dyDescent="0.3">
      <c r="B67" s="4"/>
      <c r="I67" s="3"/>
      <c r="J67" s="1"/>
      <c r="K67" s="5"/>
      <c r="M67" s="4"/>
    </row>
    <row r="68" spans="2:13" x14ac:dyDescent="0.3">
      <c r="B68" s="4"/>
      <c r="I68" s="3"/>
      <c r="J68" s="1"/>
      <c r="K68" s="5"/>
      <c r="M68" s="4"/>
    </row>
    <row r="69" spans="2:13" x14ac:dyDescent="0.3">
      <c r="B69" s="4"/>
      <c r="I69" s="3"/>
      <c r="J69" s="1"/>
      <c r="K69" s="5"/>
      <c r="M69" s="4"/>
    </row>
    <row r="70" spans="2:13" x14ac:dyDescent="0.3">
      <c r="B70" s="4"/>
      <c r="I70" s="3"/>
      <c r="J70" s="1"/>
      <c r="K70" s="5"/>
      <c r="M70" s="4"/>
    </row>
    <row r="71" spans="2:13" x14ac:dyDescent="0.3">
      <c r="B71" s="4"/>
      <c r="I71" s="3"/>
      <c r="J71" s="1"/>
      <c r="K71" s="5"/>
      <c r="M71" s="4"/>
    </row>
    <row r="72" spans="2:13" x14ac:dyDescent="0.3">
      <c r="B72" s="4"/>
      <c r="I72" s="3"/>
      <c r="J72" s="1"/>
      <c r="K72" s="5"/>
      <c r="M72" s="4"/>
    </row>
    <row r="73" spans="2:13" x14ac:dyDescent="0.3">
      <c r="B73" s="4"/>
      <c r="I73" s="3"/>
      <c r="J73" s="1"/>
      <c r="K73" s="5"/>
      <c r="M73" s="4"/>
    </row>
    <row r="74" spans="2:13" x14ac:dyDescent="0.3">
      <c r="B74" s="4"/>
      <c r="I74" s="3"/>
      <c r="J74" s="1"/>
      <c r="K74" s="5"/>
      <c r="M74" s="4"/>
    </row>
    <row r="75" spans="2:13" x14ac:dyDescent="0.3">
      <c r="B75" s="4"/>
      <c r="I75" s="3"/>
      <c r="J75" s="1"/>
      <c r="K75" s="5"/>
      <c r="M75" s="4"/>
    </row>
    <row r="76" spans="2:13" x14ac:dyDescent="0.3">
      <c r="B76" s="4"/>
      <c r="I76" s="3"/>
      <c r="J76" s="1"/>
      <c r="K76" s="5"/>
      <c r="M76" s="4"/>
    </row>
    <row r="77" spans="2:13" x14ac:dyDescent="0.3">
      <c r="B77" s="4"/>
      <c r="I77" s="3"/>
      <c r="J77" s="1"/>
      <c r="K77" s="5"/>
      <c r="M77" s="4"/>
    </row>
    <row r="78" spans="2:13" x14ac:dyDescent="0.3">
      <c r="B78" s="4"/>
      <c r="I78" s="3"/>
      <c r="J78" s="1"/>
      <c r="K78" s="5"/>
      <c r="M78" s="4"/>
    </row>
    <row r="79" spans="2:13" x14ac:dyDescent="0.3">
      <c r="B79" s="4"/>
      <c r="I79" s="3"/>
      <c r="J79" s="1"/>
      <c r="K79" s="5"/>
      <c r="M79" s="4"/>
    </row>
    <row r="80" spans="2:13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  <c r="U222" s="1"/>
      <c r="V222" s="1"/>
    </row>
    <row r="223" spans="2:22" x14ac:dyDescent="0.3">
      <c r="B223" s="4"/>
      <c r="I223" s="3"/>
      <c r="J223" s="1"/>
      <c r="K223" s="5"/>
      <c r="M223" s="4"/>
      <c r="U223" s="1"/>
      <c r="V223" s="1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8"/>
    </row>
    <row r="240" spans="2:13" x14ac:dyDescent="0.3">
      <c r="B240" s="4"/>
      <c r="I240" s="3"/>
      <c r="J240" s="1"/>
      <c r="K240" s="5"/>
      <c r="M240" s="8"/>
    </row>
    <row r="241" spans="2:13" x14ac:dyDescent="0.3">
      <c r="B241" s="4"/>
      <c r="I241" s="3"/>
      <c r="J241" s="1"/>
      <c r="K241" s="5"/>
      <c r="M241" s="8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K280" s="5"/>
      <c r="M280" s="4"/>
    </row>
    <row r="281" spans="2:13" x14ac:dyDescent="0.3">
      <c r="B281" s="4"/>
      <c r="I281" s="3"/>
      <c r="J281" s="1"/>
      <c r="K281" s="5"/>
      <c r="M281" s="4"/>
    </row>
    <row r="282" spans="2:13" x14ac:dyDescent="0.3">
      <c r="B282" s="4"/>
      <c r="I282" s="3"/>
      <c r="J282" s="1"/>
      <c r="K282" s="5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  <c r="M284" s="4"/>
    </row>
    <row r="285" spans="2:13" x14ac:dyDescent="0.3">
      <c r="B285" s="4"/>
      <c r="I285" s="3"/>
      <c r="J285" s="1"/>
      <c r="M285" s="4"/>
    </row>
    <row r="286" spans="2:13" x14ac:dyDescent="0.3">
      <c r="B286" s="4"/>
      <c r="I286" s="3"/>
      <c r="J286" s="1"/>
      <c r="M286" s="4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2:10" x14ac:dyDescent="0.3">
      <c r="B289" s="4"/>
      <c r="I289" s="3"/>
      <c r="J289" s="1"/>
    </row>
    <row r="290" spans="2:10" x14ac:dyDescent="0.3">
      <c r="B290" s="4"/>
      <c r="I290" s="3"/>
      <c r="J290" s="1"/>
    </row>
    <row r="291" spans="2:10" x14ac:dyDescent="0.3">
      <c r="B291" s="4"/>
      <c r="I291" s="3"/>
      <c r="J291" s="1"/>
    </row>
    <row r="292" spans="2:10" x14ac:dyDescent="0.3">
      <c r="B292" s="4"/>
      <c r="I292" s="3"/>
      <c r="J292" s="1"/>
    </row>
    <row r="293" spans="2:10" x14ac:dyDescent="0.3">
      <c r="B293" s="4"/>
      <c r="I293" s="3"/>
      <c r="J293" s="1"/>
    </row>
    <row r="294" spans="2:10" x14ac:dyDescent="0.3">
      <c r="B294" s="4"/>
      <c r="I294" s="3"/>
      <c r="J294" s="1"/>
    </row>
    <row r="295" spans="2:10" x14ac:dyDescent="0.3">
      <c r="B295" s="4"/>
      <c r="I295" s="3"/>
      <c r="J295" s="1"/>
    </row>
    <row r="296" spans="2:10" x14ac:dyDescent="0.3">
      <c r="B296" s="4"/>
      <c r="I296" s="3"/>
      <c r="J296" s="1"/>
    </row>
    <row r="297" spans="2:10" x14ac:dyDescent="0.3">
      <c r="B297" s="4"/>
      <c r="I297" s="3"/>
      <c r="J297" s="1"/>
    </row>
    <row r="298" spans="2:10" x14ac:dyDescent="0.3">
      <c r="B298" s="4"/>
      <c r="I298" s="3"/>
      <c r="J298" s="1"/>
    </row>
    <row r="299" spans="2:10" x14ac:dyDescent="0.3">
      <c r="B299" s="4"/>
      <c r="I299" s="3"/>
      <c r="J299" s="1"/>
    </row>
    <row r="300" spans="2:10" x14ac:dyDescent="0.3">
      <c r="B300" s="4"/>
      <c r="I300" s="3"/>
      <c r="J300" s="1"/>
    </row>
    <row r="301" spans="2:10" x14ac:dyDescent="0.3">
      <c r="B301" s="4"/>
      <c r="I301" s="3"/>
      <c r="J301" s="1"/>
    </row>
    <row r="302" spans="2:10" x14ac:dyDescent="0.3">
      <c r="B302" s="4"/>
      <c r="I302" s="3"/>
      <c r="J302" s="1"/>
    </row>
    <row r="303" spans="2:10" x14ac:dyDescent="0.3">
      <c r="B303" s="4"/>
      <c r="I303" s="3"/>
      <c r="J303" s="1"/>
    </row>
    <row r="304" spans="2:10" x14ac:dyDescent="0.3">
      <c r="B304" s="4"/>
      <c r="I304" s="3"/>
      <c r="J304" s="1"/>
    </row>
    <row r="305" spans="1:10" x14ac:dyDescent="0.3">
      <c r="A305" t="s">
        <v>0</v>
      </c>
      <c r="B305" s="4"/>
      <c r="I305" s="3"/>
      <c r="J305" s="1"/>
    </row>
    <row r="306" spans="1:10" x14ac:dyDescent="0.3">
      <c r="B306" s="4"/>
      <c r="I306" s="3"/>
      <c r="J306" s="1"/>
    </row>
    <row r="307" spans="1:10" x14ac:dyDescent="0.3">
      <c r="B307" s="4"/>
      <c r="I307" s="3"/>
      <c r="J307" s="1"/>
    </row>
    <row r="308" spans="1:10" x14ac:dyDescent="0.3">
      <c r="B308" s="4"/>
      <c r="I308" s="3"/>
      <c r="J308" s="1"/>
    </row>
    <row r="309" spans="1:10" x14ac:dyDescent="0.3">
      <c r="B309" s="4"/>
      <c r="I309" s="3"/>
      <c r="J309" s="1"/>
    </row>
    <row r="310" spans="1:10" x14ac:dyDescent="0.3">
      <c r="B310" s="4"/>
      <c r="I310" s="3"/>
      <c r="J310" s="1"/>
    </row>
    <row r="311" spans="1:10" x14ac:dyDescent="0.3">
      <c r="B311" s="4"/>
      <c r="I311" s="3"/>
      <c r="J311" s="1"/>
    </row>
    <row r="312" spans="1:10" x14ac:dyDescent="0.3">
      <c r="B312" s="4"/>
      <c r="I312" s="3"/>
      <c r="J312" s="1"/>
    </row>
    <row r="313" spans="1:10" x14ac:dyDescent="0.3">
      <c r="B313" s="4"/>
      <c r="I313" s="3"/>
      <c r="J313" s="1"/>
    </row>
    <row r="314" spans="1:10" x14ac:dyDescent="0.3">
      <c r="B314" s="4"/>
      <c r="I314" s="3"/>
      <c r="J314" s="1"/>
    </row>
    <row r="315" spans="1:10" x14ac:dyDescent="0.3">
      <c r="B315" s="4"/>
      <c r="I315" s="3"/>
      <c r="J315" s="1"/>
    </row>
    <row r="316" spans="1:10" x14ac:dyDescent="0.3">
      <c r="B316" s="4"/>
      <c r="I316" s="3"/>
      <c r="J316" s="1"/>
    </row>
    <row r="317" spans="1:10" x14ac:dyDescent="0.3">
      <c r="B317" s="4"/>
      <c r="I317" s="3"/>
      <c r="J317" s="1"/>
    </row>
    <row r="318" spans="1:10" x14ac:dyDescent="0.3">
      <c r="B318" s="4"/>
      <c r="I318" s="3"/>
      <c r="J318" s="1"/>
    </row>
    <row r="319" spans="1:10" x14ac:dyDescent="0.3">
      <c r="B319" s="4"/>
      <c r="I319" s="3"/>
      <c r="J319" s="1"/>
    </row>
    <row r="320" spans="1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A345" t="s">
        <v>0</v>
      </c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</row>
    <row r="427" spans="2:15" x14ac:dyDescent="0.3">
      <c r="B427" s="4"/>
      <c r="I427" s="3"/>
      <c r="J427" s="1"/>
    </row>
    <row r="428" spans="2:15" x14ac:dyDescent="0.3">
      <c r="B428" s="4"/>
      <c r="I428" s="3"/>
      <c r="J428" s="1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8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  <c r="M474" s="7"/>
      <c r="N474" s="7"/>
      <c r="O474" s="7"/>
    </row>
    <row r="475" spans="2:15" x14ac:dyDescent="0.3">
      <c r="B475" s="4"/>
      <c r="I475" s="3"/>
      <c r="J475" s="1"/>
      <c r="M475" s="7"/>
      <c r="N475" s="7"/>
      <c r="O475" s="7"/>
    </row>
    <row r="476" spans="2:15" x14ac:dyDescent="0.3">
      <c r="B476" s="4"/>
      <c r="I476" s="3"/>
      <c r="J476" s="1"/>
      <c r="M476" s="7"/>
      <c r="N476" s="7"/>
      <c r="O476" s="7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A684" t="s">
        <v>0</v>
      </c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A690" t="s">
        <v>0</v>
      </c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A696" t="s">
        <v>0</v>
      </c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A702" t="s">
        <v>0</v>
      </c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A708" t="s">
        <v>0</v>
      </c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A714" t="s">
        <v>0</v>
      </c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2:10" x14ac:dyDescent="0.3">
      <c r="B721" s="4"/>
      <c r="I721" s="3"/>
      <c r="J721" s="1"/>
    </row>
    <row r="722" spans="2:10" x14ac:dyDescent="0.3">
      <c r="B722" s="4"/>
      <c r="I722" s="3"/>
      <c r="J722" s="1"/>
    </row>
    <row r="723" spans="2:10" x14ac:dyDescent="0.3">
      <c r="B723" s="4"/>
      <c r="I723" s="3"/>
      <c r="J723" s="1"/>
    </row>
    <row r="724" spans="2:10" x14ac:dyDescent="0.3">
      <c r="B724" s="4"/>
      <c r="I724" s="3"/>
      <c r="J724" s="1"/>
    </row>
    <row r="725" spans="2:10" x14ac:dyDescent="0.3">
      <c r="B725" s="4"/>
      <c r="I725" s="3"/>
      <c r="J725" s="1"/>
    </row>
    <row r="726" spans="2:10" x14ac:dyDescent="0.3">
      <c r="B726" s="4"/>
      <c r="I726" s="3"/>
      <c r="J726" s="1"/>
    </row>
    <row r="727" spans="2:10" x14ac:dyDescent="0.3">
      <c r="B727" s="4"/>
      <c r="I727" s="3"/>
      <c r="J727" s="1"/>
    </row>
    <row r="728" spans="2:10" x14ac:dyDescent="0.3">
      <c r="B728" s="4"/>
      <c r="I728" s="3"/>
      <c r="J728" s="1"/>
    </row>
    <row r="729" spans="2:10" x14ac:dyDescent="0.3">
      <c r="B729" s="4"/>
      <c r="I729" s="3"/>
      <c r="J729" s="1"/>
    </row>
    <row r="730" spans="2:10" x14ac:dyDescent="0.3">
      <c r="B730" s="4"/>
      <c r="I730" s="3"/>
      <c r="J730" s="1"/>
    </row>
    <row r="731" spans="2:10" x14ac:dyDescent="0.3">
      <c r="B731" s="4"/>
      <c r="I731" s="3"/>
      <c r="J731" s="1"/>
    </row>
    <row r="732" spans="2:10" x14ac:dyDescent="0.3">
      <c r="B732" s="4"/>
      <c r="I732" s="3"/>
      <c r="J732" s="1"/>
    </row>
    <row r="733" spans="2:10" x14ac:dyDescent="0.3">
      <c r="B733" s="4"/>
      <c r="I733" s="3"/>
      <c r="J733" s="1"/>
    </row>
    <row r="734" spans="2:10" x14ac:dyDescent="0.3">
      <c r="B734" s="4"/>
      <c r="I734" s="3"/>
      <c r="J734" s="1"/>
    </row>
    <row r="735" spans="2:10" x14ac:dyDescent="0.3">
      <c r="B735" s="4"/>
      <c r="I735" s="3"/>
      <c r="J735" s="1"/>
    </row>
    <row r="736" spans="2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A738" t="s">
        <v>0</v>
      </c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1:10" x14ac:dyDescent="0.3"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A756" t="s">
        <v>0</v>
      </c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G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  <row r="829" spans="2:10" x14ac:dyDescent="0.3">
      <c r="B829" s="4"/>
      <c r="I829" s="3"/>
      <c r="J829" s="1"/>
    </row>
    <row r="830" spans="2:10" x14ac:dyDescent="0.3">
      <c r="B830" s="4"/>
      <c r="I830" s="3"/>
      <c r="J830" s="1"/>
    </row>
    <row r="831" spans="2:10" x14ac:dyDescent="0.3">
      <c r="B831" s="4"/>
      <c r="I831" s="3"/>
      <c r="J831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 RIVIAN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2026-07-15T03:29:03Z</dcterms:modified>
</cp:coreProperties>
</file>